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ac6c138e93c9cb1/new task for entering project/"/>
    </mc:Choice>
  </mc:AlternateContent>
  <xr:revisionPtr revIDLastSave="267" documentId="11_7CD1D3B8D3F0546B31C2D9F0505ED87656CB96F1" xr6:coauthVersionLast="47" xr6:coauthVersionMax="47" xr10:uidLastSave="{28FD8AED-31CD-4795-ADEF-56526C98D62A}"/>
  <bookViews>
    <workbookView xWindow="-108" yWindow="-108" windowWidth="23256" windowHeight="12456" xr2:uid="{00000000-000D-0000-FFFF-FFFF00000000}"/>
  </bookViews>
  <sheets>
    <sheet name="PIVOT_SUMMARY" sheetId="3" r:id="rId1"/>
    <sheet name="Sheet1" sheetId="1" r:id="rId2"/>
    <sheet name="KPI_Dashboard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D5" i="2"/>
  <c r="C5" i="2"/>
  <c r="B5" i="2"/>
</calcChain>
</file>

<file path=xl/sharedStrings.xml><?xml version="1.0" encoding="utf-8"?>
<sst xmlns="http://schemas.openxmlformats.org/spreadsheetml/2006/main" count="5429" uniqueCount="1759">
  <si>
    <t>CustomerID</t>
  </si>
  <si>
    <t>CompanyName</t>
  </si>
  <si>
    <t>Industry</t>
  </si>
  <si>
    <t>Country</t>
  </si>
  <si>
    <t>City</t>
  </si>
  <si>
    <t>EmployeeCount</t>
  </si>
  <si>
    <t>SignupDate</t>
  </si>
  <si>
    <t>AcquisitionChannel</t>
  </si>
  <si>
    <t>SubscriptionID</t>
  </si>
  <si>
    <t>PlanName</t>
  </si>
  <si>
    <t>BillingTerm</t>
  </si>
  <si>
    <t>Seats</t>
  </si>
  <si>
    <t>MRR</t>
  </si>
  <si>
    <t>StartDate</t>
  </si>
  <si>
    <t>EndDate</t>
  </si>
  <si>
    <t>Status</t>
  </si>
  <si>
    <t>Logins</t>
  </si>
  <si>
    <t>ActiveUsers</t>
  </si>
  <si>
    <t>TicketID</t>
  </si>
  <si>
    <t>SatisfactionScore</t>
  </si>
  <si>
    <t>C1001</t>
  </si>
  <si>
    <t>Ishaan Joshi Systems</t>
  </si>
  <si>
    <t>Unknown</t>
  </si>
  <si>
    <t>India</t>
  </si>
  <si>
    <t>Hyderabad</t>
  </si>
  <si>
    <t>2023-07-02</t>
  </si>
  <si>
    <t>Paid Ads</t>
  </si>
  <si>
    <t>S5001</t>
  </si>
  <si>
    <t>Growth</t>
  </si>
  <si>
    <t>Monthly</t>
  </si>
  <si>
    <t>2024-10-21</t>
  </si>
  <si>
    <t>Churned</t>
  </si>
  <si>
    <t>C1002</t>
  </si>
  <si>
    <t>Tara Sharma Technologies</t>
  </si>
  <si>
    <t>Finance</t>
  </si>
  <si>
    <t>Uk</t>
  </si>
  <si>
    <t>London</t>
  </si>
  <si>
    <t>2024-02-21</t>
  </si>
  <si>
    <t>Referral</t>
  </si>
  <si>
    <t>S5002</t>
  </si>
  <si>
    <t>Active</t>
  </si>
  <si>
    <t>C1003</t>
  </si>
  <si>
    <t>Zoya Das Systems</t>
  </si>
  <si>
    <t>Uae</t>
  </si>
  <si>
    <t>Dubai</t>
  </si>
  <si>
    <t>2023-09-12</t>
  </si>
  <si>
    <t>Organic Search</t>
  </si>
  <si>
    <t>S5003</t>
  </si>
  <si>
    <t>Annual</t>
  </si>
  <si>
    <t>C1004</t>
  </si>
  <si>
    <t>Diya Joshi Labs</t>
  </si>
  <si>
    <t>Retail</t>
  </si>
  <si>
    <t>Manchester</t>
  </si>
  <si>
    <t>2024-03-01</t>
  </si>
  <si>
    <t>Partner</t>
  </si>
  <si>
    <t>S5004</t>
  </si>
  <si>
    <t>Starter</t>
  </si>
  <si>
    <t>C1005</t>
  </si>
  <si>
    <t>Tara Joshi Systems</t>
  </si>
  <si>
    <t>Logistics</t>
  </si>
  <si>
    <t>2023-12-29</t>
  </si>
  <si>
    <t>Outbound</t>
  </si>
  <si>
    <t>S5005</t>
  </si>
  <si>
    <t>Business</t>
  </si>
  <si>
    <t>2025-08-23</t>
  </si>
  <si>
    <t>C1006</t>
  </si>
  <si>
    <t>Sanjay Reddy Labs</t>
  </si>
  <si>
    <t>Manufacturing</t>
  </si>
  <si>
    <t>2024-09-15</t>
  </si>
  <si>
    <t>S5006</t>
  </si>
  <si>
    <t>Enterprise</t>
  </si>
  <si>
    <t>C1007</t>
  </si>
  <si>
    <t>Sai Das Technologies</t>
  </si>
  <si>
    <t>Delhi</t>
  </si>
  <si>
    <t>2023-03-26</t>
  </si>
  <si>
    <t>S5007</t>
  </si>
  <si>
    <t>C1008</t>
  </si>
  <si>
    <t>Nikita Gupta Solutions</t>
  </si>
  <si>
    <t>Abu Dhabi</t>
  </si>
  <si>
    <t>S5008</t>
  </si>
  <si>
    <t>C1009</t>
  </si>
  <si>
    <t>Rohan Patel Technologies</t>
  </si>
  <si>
    <t>Education</t>
  </si>
  <si>
    <t>2023-07-27</t>
  </si>
  <si>
    <t>S5009</t>
  </si>
  <si>
    <t>C1010</t>
  </si>
  <si>
    <t>Tara Iyer Labs</t>
  </si>
  <si>
    <t>Pune</t>
  </si>
  <si>
    <t>2023-11-15</t>
  </si>
  <si>
    <t>S5010</t>
  </si>
  <si>
    <t>2024-04-10</t>
  </si>
  <si>
    <t>C1011</t>
  </si>
  <si>
    <t>Rohan Iyer Solutions</t>
  </si>
  <si>
    <t>2023-05-11</t>
  </si>
  <si>
    <t>S5011</t>
  </si>
  <si>
    <t>C1012</t>
  </si>
  <si>
    <t>Meera Patel Labs</t>
  </si>
  <si>
    <t>Healthcare</t>
  </si>
  <si>
    <t>2023-02-15</t>
  </si>
  <si>
    <t>Events</t>
  </si>
  <si>
    <t>S5012</t>
  </si>
  <si>
    <t>2023-11-14</t>
  </si>
  <si>
    <t>C1013</t>
  </si>
  <si>
    <t>Farhan Das Industries</t>
  </si>
  <si>
    <t>2024-12-10</t>
  </si>
  <si>
    <t>S5013</t>
  </si>
  <si>
    <t>2026-02-28</t>
  </si>
  <si>
    <t>S5014</t>
  </si>
  <si>
    <t>2026-05-03</t>
  </si>
  <si>
    <t>C1014</t>
  </si>
  <si>
    <t>Rahul Patel Industries</t>
  </si>
  <si>
    <t>Media</t>
  </si>
  <si>
    <t>Chennai</t>
  </si>
  <si>
    <t>2024-07-10</t>
  </si>
  <si>
    <t>S5015</t>
  </si>
  <si>
    <t>C1015</t>
  </si>
  <si>
    <t>Sanjay Gupta Industries</t>
  </si>
  <si>
    <t>Mumbai</t>
  </si>
  <si>
    <t>2024-01-15</t>
  </si>
  <si>
    <t>S5016</t>
  </si>
  <si>
    <t>C1016</t>
  </si>
  <si>
    <t>Diya Singh Industries</t>
  </si>
  <si>
    <t>2024-01-16</t>
  </si>
  <si>
    <t>S5017</t>
  </si>
  <si>
    <t>2025-06-24</t>
  </si>
  <si>
    <t>C1017</t>
  </si>
  <si>
    <t>Rahul Reddy Solutions</t>
  </si>
  <si>
    <t>Usa</t>
  </si>
  <si>
    <t>Seattle</t>
  </si>
  <si>
    <t>2024-06-05</t>
  </si>
  <si>
    <t>S5018</t>
  </si>
  <si>
    <t>C1018</t>
  </si>
  <si>
    <t>Myra Khan Systems</t>
  </si>
  <si>
    <t>Boston</t>
  </si>
  <si>
    <t>2024-03-06</t>
  </si>
  <si>
    <t>S5019</t>
  </si>
  <si>
    <t>C1019</t>
  </si>
  <si>
    <t>Deepak Nair Labs</t>
  </si>
  <si>
    <t>Singapore</t>
  </si>
  <si>
    <t>2024-04-30</t>
  </si>
  <si>
    <t>S5020</t>
  </si>
  <si>
    <t>C1020</t>
  </si>
  <si>
    <t>Saanvi Menon Group</t>
  </si>
  <si>
    <t>2023-12-04</t>
  </si>
  <si>
    <t>S5021</t>
  </si>
  <si>
    <t>2024-06-27</t>
  </si>
  <si>
    <t>C1021</t>
  </si>
  <si>
    <t>Vivaan Singh Systems</t>
  </si>
  <si>
    <t>2023-05-14</t>
  </si>
  <si>
    <t>S5022</t>
  </si>
  <si>
    <t>C1022</t>
  </si>
  <si>
    <t>Rahul Singh Technologies</t>
  </si>
  <si>
    <t>2023-09-26</t>
  </si>
  <si>
    <t>S5023</t>
  </si>
  <si>
    <t>C1023</t>
  </si>
  <si>
    <t>Meera Menon Industries</t>
  </si>
  <si>
    <t>2024-08-02</t>
  </si>
  <si>
    <t>S5024</t>
  </si>
  <si>
    <t>C1024</t>
  </si>
  <si>
    <t>Vivaan Verma Solutions</t>
  </si>
  <si>
    <t>Bengaluru</t>
  </si>
  <si>
    <t>2024-10-17</t>
  </si>
  <si>
    <t>S5025</t>
  </si>
  <si>
    <t>C1025</t>
  </si>
  <si>
    <t>Diya Singh Labs</t>
  </si>
  <si>
    <t>2023-04-22</t>
  </si>
  <si>
    <t>S5026</t>
  </si>
  <si>
    <t>C1026</t>
  </si>
  <si>
    <t>Vivaan Singh Solutions</t>
  </si>
  <si>
    <t>2024-05-04</t>
  </si>
  <si>
    <t>S5027</t>
  </si>
  <si>
    <t>2025-12-26</t>
  </si>
  <si>
    <t>C1027</t>
  </si>
  <si>
    <t>Vihaan Bose Group</t>
  </si>
  <si>
    <t>2023-05-06</t>
  </si>
  <si>
    <t>S5028</t>
  </si>
  <si>
    <t>2023-10-26</t>
  </si>
  <si>
    <t>C1028</t>
  </si>
  <si>
    <t>Ananya Gupta Solutions</t>
  </si>
  <si>
    <t>2023-06-06</t>
  </si>
  <si>
    <t>S5029</t>
  </si>
  <si>
    <t>2024-12-18</t>
  </si>
  <si>
    <t>C1029</t>
  </si>
  <si>
    <t>Sai Khan Technologies</t>
  </si>
  <si>
    <t>2024-01-20</t>
  </si>
  <si>
    <t>S5030</t>
  </si>
  <si>
    <t>C1030</t>
  </si>
  <si>
    <t>Rohan Bose Solutions</t>
  </si>
  <si>
    <t>2023-04-24</t>
  </si>
  <si>
    <t>S5031</t>
  </si>
  <si>
    <t>C1031</t>
  </si>
  <si>
    <t>Isha Khan Technologies</t>
  </si>
  <si>
    <t>2025-01-26</t>
  </si>
  <si>
    <t>S5032</t>
  </si>
  <si>
    <t>C1032</t>
  </si>
  <si>
    <t>Naveen Menon Industries</t>
  </si>
  <si>
    <t>2025-01-09</t>
  </si>
  <si>
    <t>S5033</t>
  </si>
  <si>
    <t>C1033</t>
  </si>
  <si>
    <t>Arun Sharma Industries</t>
  </si>
  <si>
    <t>2023-11-30</t>
  </si>
  <si>
    <t>S5034</t>
  </si>
  <si>
    <t>C1034</t>
  </si>
  <si>
    <t>Sneha Rao Industries</t>
  </si>
  <si>
    <t>S5035</t>
  </si>
  <si>
    <t>C1035</t>
  </si>
  <si>
    <t>Arjun Gupta Industries</t>
  </si>
  <si>
    <t>2023-06-21</t>
  </si>
  <si>
    <t>S5036</t>
  </si>
  <si>
    <t>C1036</t>
  </si>
  <si>
    <t>Krishna Sharma Solutions</t>
  </si>
  <si>
    <t>2023-08-24</t>
  </si>
  <si>
    <t>S5037</t>
  </si>
  <si>
    <t>C1037</t>
  </si>
  <si>
    <t>Diya Das Industries</t>
  </si>
  <si>
    <t>2024-02-26</t>
  </si>
  <si>
    <t>S5038</t>
  </si>
  <si>
    <t>2025-09-14</t>
  </si>
  <si>
    <t>C1038</t>
  </si>
  <si>
    <t>Sneha Menon Industries</t>
  </si>
  <si>
    <t>S5039</t>
  </si>
  <si>
    <t>2024-06-14</t>
  </si>
  <si>
    <t>C1039</t>
  </si>
  <si>
    <t>Arjun Iyer Systems</t>
  </si>
  <si>
    <t>2023-03-23</t>
  </si>
  <si>
    <t>S5040</t>
  </si>
  <si>
    <t>C1040</t>
  </si>
  <si>
    <t>Reyansh Nair Labs</t>
  </si>
  <si>
    <t>2024-02-13</t>
  </si>
  <si>
    <t>S5041</t>
  </si>
  <si>
    <t>C1041</t>
  </si>
  <si>
    <t>Sanjay Khan Systems</t>
  </si>
  <si>
    <t>2023-12-30</t>
  </si>
  <si>
    <t>S5042</t>
  </si>
  <si>
    <t>C1042</t>
  </si>
  <si>
    <t>Meera Iyer Industries</t>
  </si>
  <si>
    <t>2023-05-12</t>
  </si>
  <si>
    <t>S5043</t>
  </si>
  <si>
    <t>C1043</t>
  </si>
  <si>
    <t>Aadhya Khan Systems</t>
  </si>
  <si>
    <t>2023-07-25</t>
  </si>
  <si>
    <t>S5044</t>
  </si>
  <si>
    <t>2025-03-05</t>
  </si>
  <si>
    <t>C1044</t>
  </si>
  <si>
    <t>Krishna Bose Solutions</t>
  </si>
  <si>
    <t>Austin</t>
  </si>
  <si>
    <t>2024-07-08</t>
  </si>
  <si>
    <t>S5045</t>
  </si>
  <si>
    <t>2025-01-14</t>
  </si>
  <si>
    <t>C1045</t>
  </si>
  <si>
    <t>Kavya Verma Solutions</t>
  </si>
  <si>
    <t>2024-06-10</t>
  </si>
  <si>
    <t>S5046</t>
  </si>
  <si>
    <t>C1046</t>
  </si>
  <si>
    <t>Tara Patel Industries</t>
  </si>
  <si>
    <t>2023-09-04</t>
  </si>
  <si>
    <t>S5047</t>
  </si>
  <si>
    <t>2025-03-03</t>
  </si>
  <si>
    <t>C1047</t>
  </si>
  <si>
    <t>Rohan Das Technologies</t>
  </si>
  <si>
    <t>2024-06-01</t>
  </si>
  <si>
    <t>S5048</t>
  </si>
  <si>
    <t>C1048</t>
  </si>
  <si>
    <t>Aman Singh Labs</t>
  </si>
  <si>
    <t>S5049</t>
  </si>
  <si>
    <t>C1049</t>
  </si>
  <si>
    <t>Farhan Gupta Labs</t>
  </si>
  <si>
    <t>2024-10-06</t>
  </si>
  <si>
    <t>S5050</t>
  </si>
  <si>
    <t>2025-12-18</t>
  </si>
  <si>
    <t>S5051</t>
  </si>
  <si>
    <t>2026-02-02</t>
  </si>
  <si>
    <t>C1050</t>
  </si>
  <si>
    <t>Arun Khan Solutions</t>
  </si>
  <si>
    <t>2023-07-09</t>
  </si>
  <si>
    <t>S5052</t>
  </si>
  <si>
    <t>2023-12-13</t>
  </si>
  <si>
    <t>S5053</t>
  </si>
  <si>
    <t>2024-02-25</t>
  </si>
  <si>
    <t>2024-06-21</t>
  </si>
  <si>
    <t>C1051</t>
  </si>
  <si>
    <t>Priya Gupta Labs</t>
  </si>
  <si>
    <t>2024-08-01</t>
  </si>
  <si>
    <t>S5054</t>
  </si>
  <si>
    <t>C1052</t>
  </si>
  <si>
    <t>Aadhya Reddy Labs</t>
  </si>
  <si>
    <t>2024-05-10</t>
  </si>
  <si>
    <t>S5055</t>
  </si>
  <si>
    <t>C1053</t>
  </si>
  <si>
    <t>Sanjay Joshi Group</t>
  </si>
  <si>
    <t>2023-05-25</t>
  </si>
  <si>
    <t>S5056</t>
  </si>
  <si>
    <t>2024-07-01</t>
  </si>
  <si>
    <t>C1054</t>
  </si>
  <si>
    <t>Arjun Bose Group</t>
  </si>
  <si>
    <t>2024-11-14</t>
  </si>
  <si>
    <t>S5057</t>
  </si>
  <si>
    <t>C1055</t>
  </si>
  <si>
    <t>Arun Rao Technologies</t>
  </si>
  <si>
    <t>2023-03-25</t>
  </si>
  <si>
    <t>S5058</t>
  </si>
  <si>
    <t>2024-08-05</t>
  </si>
  <si>
    <t>C1056</t>
  </si>
  <si>
    <t>Kavya Rao Systems</t>
  </si>
  <si>
    <t>2024-07-30</t>
  </si>
  <si>
    <t>S5059</t>
  </si>
  <si>
    <t>C1057</t>
  </si>
  <si>
    <t>Reyansh Joshi Industries</t>
  </si>
  <si>
    <t>2023-11-12</t>
  </si>
  <si>
    <t>S5060</t>
  </si>
  <si>
    <t>C1058</t>
  </si>
  <si>
    <t>Riya Das Labs</t>
  </si>
  <si>
    <t>2024-08-27</t>
  </si>
  <si>
    <t>S5061</t>
  </si>
  <si>
    <t>2025-01-11</t>
  </si>
  <si>
    <t>C1059</t>
  </si>
  <si>
    <t>Myra Verma Labs</t>
  </si>
  <si>
    <t>2024-07-16</t>
  </si>
  <si>
    <t>S5062</t>
  </si>
  <si>
    <t>C1060</t>
  </si>
  <si>
    <t>Aarav Reddy Systems</t>
  </si>
  <si>
    <t>S5063</t>
  </si>
  <si>
    <t>C1061</t>
  </si>
  <si>
    <t>Isha Gupta Group</t>
  </si>
  <si>
    <t>2023-06-02</t>
  </si>
  <si>
    <t>S5064</t>
  </si>
  <si>
    <t>C1062</t>
  </si>
  <si>
    <t>Kavya Das Solutions</t>
  </si>
  <si>
    <t>S5065</t>
  </si>
  <si>
    <t>2023-08-03</t>
  </si>
  <si>
    <t>C1063</t>
  </si>
  <si>
    <t>Rahul Menon Systems</t>
  </si>
  <si>
    <t>2023-06-09</t>
  </si>
  <si>
    <t>S5066</t>
  </si>
  <si>
    <t>2024-03-13</t>
  </si>
  <si>
    <t>C1064</t>
  </si>
  <si>
    <t>Riya Sharma Technologies</t>
  </si>
  <si>
    <t>2024-03-21</t>
  </si>
  <si>
    <t>S5067</t>
  </si>
  <si>
    <t>C1065</t>
  </si>
  <si>
    <t>Priya Verma Systems</t>
  </si>
  <si>
    <t>2023-10-25</t>
  </si>
  <si>
    <t>S5068</t>
  </si>
  <si>
    <t>C1066</t>
  </si>
  <si>
    <t>Ishaan Reddy Solutions</t>
  </si>
  <si>
    <t>2024-07-18</t>
  </si>
  <si>
    <t>S5069</t>
  </si>
  <si>
    <t>C1067</t>
  </si>
  <si>
    <t>Tara Khan Group</t>
  </si>
  <si>
    <t>2024-02-10</t>
  </si>
  <si>
    <t>S5070</t>
  </si>
  <si>
    <t>C1068</t>
  </si>
  <si>
    <t>Ananya Gupta Industries</t>
  </si>
  <si>
    <t>2024-11-04</t>
  </si>
  <si>
    <t>S5071</t>
  </si>
  <si>
    <t>C1069</t>
  </si>
  <si>
    <t>Aadhya Joshi Systems</t>
  </si>
  <si>
    <t>2023-08-15</t>
  </si>
  <si>
    <t>S5072</t>
  </si>
  <si>
    <t>C1070</t>
  </si>
  <si>
    <t>Kiara Das Solutions</t>
  </si>
  <si>
    <t>2025-01-25</t>
  </si>
  <si>
    <t>S5073</t>
  </si>
  <si>
    <t>C1071</t>
  </si>
  <si>
    <t>Arjun Patel Labs</t>
  </si>
  <si>
    <t>2024-09-11</t>
  </si>
  <si>
    <t>S5074</t>
  </si>
  <si>
    <t>C1072</t>
  </si>
  <si>
    <t>Rohan Gupta Technologies</t>
  </si>
  <si>
    <t>S5075</t>
  </si>
  <si>
    <t>C1073</t>
  </si>
  <si>
    <t>Vivaan Menon Group</t>
  </si>
  <si>
    <t>2023-08-20</t>
  </si>
  <si>
    <t>S5076</t>
  </si>
  <si>
    <t>C1074</t>
  </si>
  <si>
    <t>Priya Khan Group</t>
  </si>
  <si>
    <t>2024-10-11</t>
  </si>
  <si>
    <t>S5077</t>
  </si>
  <si>
    <t>C1075</t>
  </si>
  <si>
    <t>Ishaan Khan Industries</t>
  </si>
  <si>
    <t>2024-05-01</t>
  </si>
  <si>
    <t>S5078</t>
  </si>
  <si>
    <t>C1076</t>
  </si>
  <si>
    <t>Arun Khan Labs</t>
  </si>
  <si>
    <t>2024-05-26</t>
  </si>
  <si>
    <t>S5079</t>
  </si>
  <si>
    <t>2026-01-13</t>
  </si>
  <si>
    <t>S5080</t>
  </si>
  <si>
    <t>2026-04-09</t>
  </si>
  <si>
    <t>C1077</t>
  </si>
  <si>
    <t>Krishna Nair Industries</t>
  </si>
  <si>
    <t>2024-03-10</t>
  </si>
  <si>
    <t>S5081</t>
  </si>
  <si>
    <t>C1078</t>
  </si>
  <si>
    <t>Rohan Patel Group</t>
  </si>
  <si>
    <t>2024-03-09</t>
  </si>
  <si>
    <t>S5082</t>
  </si>
  <si>
    <t>C1079</t>
  </si>
  <si>
    <t>Arun Rao Industries</t>
  </si>
  <si>
    <t>S5083</t>
  </si>
  <si>
    <t>C1080</t>
  </si>
  <si>
    <t>Rohan Sharma Group</t>
  </si>
  <si>
    <t>2024-05-05</t>
  </si>
  <si>
    <t>S5084</t>
  </si>
  <si>
    <t>C1081</t>
  </si>
  <si>
    <t>Ananya Nair Group</t>
  </si>
  <si>
    <t>2024-04-01</t>
  </si>
  <si>
    <t>S5085</t>
  </si>
  <si>
    <t>C1082</t>
  </si>
  <si>
    <t>Aadhya Nair Systems</t>
  </si>
  <si>
    <t>2024-06-06</t>
  </si>
  <si>
    <t>S5086</t>
  </si>
  <si>
    <t>C1083</t>
  </si>
  <si>
    <t>Deepak Das Group</t>
  </si>
  <si>
    <t>S5087</t>
  </si>
  <si>
    <t>C1084</t>
  </si>
  <si>
    <t>Meera Patel Industries</t>
  </si>
  <si>
    <t>2025-01-17</t>
  </si>
  <si>
    <t>S5088</t>
  </si>
  <si>
    <t>C1085</t>
  </si>
  <si>
    <t>Aditya Reddy Group</t>
  </si>
  <si>
    <t>2023-06-17</t>
  </si>
  <si>
    <t>S5089</t>
  </si>
  <si>
    <t>2024-01-17</t>
  </si>
  <si>
    <t>C1086</t>
  </si>
  <si>
    <t>Karthik Sharma Systems</t>
  </si>
  <si>
    <t>2023-04-29</t>
  </si>
  <si>
    <t>S5090</t>
  </si>
  <si>
    <t>C1087</t>
  </si>
  <si>
    <t>Diya Iyer Labs</t>
  </si>
  <si>
    <t>2024-11-03</t>
  </si>
  <si>
    <t>S5091</t>
  </si>
  <si>
    <t>C1088</t>
  </si>
  <si>
    <t>Reyansh Das Technologies</t>
  </si>
  <si>
    <t>2023-06-30</t>
  </si>
  <si>
    <t>S5092</t>
  </si>
  <si>
    <t>C1089</t>
  </si>
  <si>
    <t>Reyansh Bose Solutions</t>
  </si>
  <si>
    <t>2024-05-27</t>
  </si>
  <si>
    <t>S5093</t>
  </si>
  <si>
    <t>C1090</t>
  </si>
  <si>
    <t>Aarav Menon Group</t>
  </si>
  <si>
    <t>2024-10-05</t>
  </si>
  <si>
    <t>S5094</t>
  </si>
  <si>
    <t>2025-10-19</t>
  </si>
  <si>
    <t>C1091</t>
  </si>
  <si>
    <t>Myra Nair Solutions</t>
  </si>
  <si>
    <t>2024-11-17</t>
  </si>
  <si>
    <t>S5095</t>
  </si>
  <si>
    <t>C1092</t>
  </si>
  <si>
    <t>Aman Sharma Solutions</t>
  </si>
  <si>
    <t>2024-12-05</t>
  </si>
  <si>
    <t>S5096</t>
  </si>
  <si>
    <t>C1093</t>
  </si>
  <si>
    <t>Aarav Joshi Technologies</t>
  </si>
  <si>
    <t>2023-05-28</t>
  </si>
  <si>
    <t>S5097</t>
  </si>
  <si>
    <t>C1094</t>
  </si>
  <si>
    <t>Isha Nair Solutions</t>
  </si>
  <si>
    <t>2023-03-05</t>
  </si>
  <si>
    <t>S5098</t>
  </si>
  <si>
    <t>C1095</t>
  </si>
  <si>
    <t>Aarav Das Industries</t>
  </si>
  <si>
    <t>2023-02-13</t>
  </si>
  <si>
    <t>S5099</t>
  </si>
  <si>
    <t>C1096</t>
  </si>
  <si>
    <t>Deepak Gupta Labs</t>
  </si>
  <si>
    <t>2024-03-07</t>
  </si>
  <si>
    <t>S5100</t>
  </si>
  <si>
    <t>C1097</t>
  </si>
  <si>
    <t>Diya Gupta Industries</t>
  </si>
  <si>
    <t>2024-12-24</t>
  </si>
  <si>
    <t>S5101</t>
  </si>
  <si>
    <t>2025-12-30</t>
  </si>
  <si>
    <t>C1098</t>
  </si>
  <si>
    <t>Myra Nair Systems</t>
  </si>
  <si>
    <t>2024-04-24</t>
  </si>
  <si>
    <t>S5102</t>
  </si>
  <si>
    <t>C1099</t>
  </si>
  <si>
    <t>Ishaan Patel Group</t>
  </si>
  <si>
    <t>2023-02-17</t>
  </si>
  <si>
    <t>S5103</t>
  </si>
  <si>
    <t>2024-02-09</t>
  </si>
  <si>
    <t>C1100</t>
  </si>
  <si>
    <t>Priya Gupta Solutions</t>
  </si>
  <si>
    <t>2024-07-27</t>
  </si>
  <si>
    <t>S5104</t>
  </si>
  <si>
    <t>C1101</t>
  </si>
  <si>
    <t>Zoya Bose Industries</t>
  </si>
  <si>
    <t>2023-02-24</t>
  </si>
  <si>
    <t>S5105</t>
  </si>
  <si>
    <t>C1102</t>
  </si>
  <si>
    <t>Deepak Iyer Solutions</t>
  </si>
  <si>
    <t>2023-03-18</t>
  </si>
  <si>
    <t>S5106</t>
  </si>
  <si>
    <t>Paused</t>
  </si>
  <si>
    <t>C1103</t>
  </si>
  <si>
    <t>Pooja Menon Group</t>
  </si>
  <si>
    <t>2023-07-30</t>
  </si>
  <si>
    <t>S5107</t>
  </si>
  <si>
    <t>C1104</t>
  </si>
  <si>
    <t>Farhan Iyer Group</t>
  </si>
  <si>
    <t>2024-10-10</t>
  </si>
  <si>
    <t>S5108</t>
  </si>
  <si>
    <t>C1105</t>
  </si>
  <si>
    <t>Riya Gupta Labs</t>
  </si>
  <si>
    <t>2023-01-30</t>
  </si>
  <si>
    <t>S5109</t>
  </si>
  <si>
    <t>C1106</t>
  </si>
  <si>
    <t>Ananya Singh Group</t>
  </si>
  <si>
    <t>2024-09-29</t>
  </si>
  <si>
    <t>S5110</t>
  </si>
  <si>
    <t>C1107</t>
  </si>
  <si>
    <t>Isha Nair Technologies</t>
  </si>
  <si>
    <t>2023-12-07</t>
  </si>
  <si>
    <t>S5111</t>
  </si>
  <si>
    <t>2025-02-17</t>
  </si>
  <si>
    <t>C1108</t>
  </si>
  <si>
    <t>Saanvi Joshi Systems</t>
  </si>
  <si>
    <t>2023-01-14</t>
  </si>
  <si>
    <t>S5112</t>
  </si>
  <si>
    <t>C1109</t>
  </si>
  <si>
    <t>Kiara Verma Industries</t>
  </si>
  <si>
    <t>2023-02-19</t>
  </si>
  <si>
    <t>S5113</t>
  </si>
  <si>
    <t>C1110</t>
  </si>
  <si>
    <t>Tara Sharma Solutions</t>
  </si>
  <si>
    <t>S5114</t>
  </si>
  <si>
    <t>C1111</t>
  </si>
  <si>
    <t>Priya Khan Industries</t>
  </si>
  <si>
    <t>2024-06-30</t>
  </si>
  <si>
    <t>S5115</t>
  </si>
  <si>
    <t>C1112</t>
  </si>
  <si>
    <t>Aarav Singh Labs</t>
  </si>
  <si>
    <t>S5116</t>
  </si>
  <si>
    <t>2024-10-18</t>
  </si>
  <si>
    <t>C1113</t>
  </si>
  <si>
    <t>Riya Iyer Technologies</t>
  </si>
  <si>
    <t>2024-09-12</t>
  </si>
  <si>
    <t>S5117</t>
  </si>
  <si>
    <t>C1114</t>
  </si>
  <si>
    <t>Aadhya Das Industries</t>
  </si>
  <si>
    <t>2024-11-26</t>
  </si>
  <si>
    <t>S5118</t>
  </si>
  <si>
    <t>C1115</t>
  </si>
  <si>
    <t>Rahul Rao Labs</t>
  </si>
  <si>
    <t>2024-09-16</t>
  </si>
  <si>
    <t>S5119</t>
  </si>
  <si>
    <t>2025-03-06</t>
  </si>
  <si>
    <t>C1116</t>
  </si>
  <si>
    <t>2024-12-01</t>
  </si>
  <si>
    <t>S5120</t>
  </si>
  <si>
    <t>C1117</t>
  </si>
  <si>
    <t>Arun Gupta Labs</t>
  </si>
  <si>
    <t>2024-01-27</t>
  </si>
  <si>
    <t>S5121</t>
  </si>
  <si>
    <t>C1118</t>
  </si>
  <si>
    <t>Ishaan Reddy Group</t>
  </si>
  <si>
    <t>2024-07-17</t>
  </si>
  <si>
    <t>S5122</t>
  </si>
  <si>
    <t>C1119</t>
  </si>
  <si>
    <t>Deepak Verma Systems</t>
  </si>
  <si>
    <t>2023-07-29</t>
  </si>
  <si>
    <t>S5123</t>
  </si>
  <si>
    <t>C1120</t>
  </si>
  <si>
    <t>Pooja Rao Solutions</t>
  </si>
  <si>
    <t>2024-06-20</t>
  </si>
  <si>
    <t>S5124</t>
  </si>
  <si>
    <t>C1121</t>
  </si>
  <si>
    <t>Ishaan Singh Group</t>
  </si>
  <si>
    <t>2023-04-13</t>
  </si>
  <si>
    <t>S5125</t>
  </si>
  <si>
    <t>C1122</t>
  </si>
  <si>
    <t>Aarav Gupta Technologies</t>
  </si>
  <si>
    <t>2024-04-06</t>
  </si>
  <si>
    <t>S5126</t>
  </si>
  <si>
    <t>2024-11-28</t>
  </si>
  <si>
    <t>C1123</t>
  </si>
  <si>
    <t>Vihaan Joshi Solutions</t>
  </si>
  <si>
    <t>2024-05-09</t>
  </si>
  <si>
    <t>S5127</t>
  </si>
  <si>
    <t>C1124</t>
  </si>
  <si>
    <t>Krishna Sharma Systems</t>
  </si>
  <si>
    <t>2024-08-09</t>
  </si>
  <si>
    <t>S5128</t>
  </si>
  <si>
    <t>C1125</t>
  </si>
  <si>
    <t>Kiara Verma Systems</t>
  </si>
  <si>
    <t>S5129</t>
  </si>
  <si>
    <t>2024-07-05</t>
  </si>
  <si>
    <t>C1126</t>
  </si>
  <si>
    <t>Sneha Iyer Group</t>
  </si>
  <si>
    <t>2023-10-11</t>
  </si>
  <si>
    <t>S5130</t>
  </si>
  <si>
    <t>C1127</t>
  </si>
  <si>
    <t>Divya Gupta Labs</t>
  </si>
  <si>
    <t>2024-03-16</t>
  </si>
  <si>
    <t>S5131</t>
  </si>
  <si>
    <t>C1128</t>
  </si>
  <si>
    <t>2023-09-29</t>
  </si>
  <si>
    <t>S5132</t>
  </si>
  <si>
    <t>C1129</t>
  </si>
  <si>
    <t>Farhan Reddy Labs</t>
  </si>
  <si>
    <t>S5133</t>
  </si>
  <si>
    <t>2025-04-24</t>
  </si>
  <si>
    <t>C1130</t>
  </si>
  <si>
    <t>Nikita Iyer Technologies</t>
  </si>
  <si>
    <t>2024-03-26</t>
  </si>
  <si>
    <t>S5134</t>
  </si>
  <si>
    <t>C1131</t>
  </si>
  <si>
    <t>Aditya Menon Industries</t>
  </si>
  <si>
    <t>2023-05-05</t>
  </si>
  <si>
    <t>S5135</t>
  </si>
  <si>
    <t>S5136</t>
  </si>
  <si>
    <t>C1132</t>
  </si>
  <si>
    <t>Sneha Khan Solutions</t>
  </si>
  <si>
    <t>S5137</t>
  </si>
  <si>
    <t>2025-05-09</t>
  </si>
  <si>
    <t>S5138</t>
  </si>
  <si>
    <t>2025-06-10</t>
  </si>
  <si>
    <t>C1133</t>
  </si>
  <si>
    <t>Divya Nair Solutions</t>
  </si>
  <si>
    <t>S5139</t>
  </si>
  <si>
    <t>C1134</t>
  </si>
  <si>
    <t>Tara Reddy Industries</t>
  </si>
  <si>
    <t>S5140</t>
  </si>
  <si>
    <t>C1135</t>
  </si>
  <si>
    <t>Nikita Menon Solutions</t>
  </si>
  <si>
    <t>2023-11-21</t>
  </si>
  <si>
    <t>S5141</t>
  </si>
  <si>
    <t>C1136</t>
  </si>
  <si>
    <t>Deepak Bose Group</t>
  </si>
  <si>
    <t>2024-04-04</t>
  </si>
  <si>
    <t>S5142</t>
  </si>
  <si>
    <t>C1137</t>
  </si>
  <si>
    <t>Arun Verma Labs</t>
  </si>
  <si>
    <t>2023-08-09</t>
  </si>
  <si>
    <t>S5143</t>
  </si>
  <si>
    <t>2024-03-14</t>
  </si>
  <si>
    <t>C1138</t>
  </si>
  <si>
    <t>Meera Sharma Labs</t>
  </si>
  <si>
    <t>2024-10-27</t>
  </si>
  <si>
    <t>S5144</t>
  </si>
  <si>
    <t>C1139</t>
  </si>
  <si>
    <t>Arjun Menon Group</t>
  </si>
  <si>
    <t>2023-07-17</t>
  </si>
  <si>
    <t>S5145</t>
  </si>
  <si>
    <t>C1140</t>
  </si>
  <si>
    <t>Aarav Nair Systems</t>
  </si>
  <si>
    <t>2024-07-15</t>
  </si>
  <si>
    <t>S5146</t>
  </si>
  <si>
    <t>2024-10-25</t>
  </si>
  <si>
    <t>C1141</t>
  </si>
  <si>
    <t>Ananya Joshi Industries</t>
  </si>
  <si>
    <t>2023-02-25</t>
  </si>
  <si>
    <t>S5147</t>
  </si>
  <si>
    <t>C1142</t>
  </si>
  <si>
    <t>Kavya Reddy Technologies</t>
  </si>
  <si>
    <t>2023-03-03</t>
  </si>
  <si>
    <t>S5148</t>
  </si>
  <si>
    <t>C1143</t>
  </si>
  <si>
    <t>Reyansh Menon Solutions</t>
  </si>
  <si>
    <t>2023-02-20</t>
  </si>
  <si>
    <t>S5149</t>
  </si>
  <si>
    <t>2024-05-24</t>
  </si>
  <si>
    <t>C1144</t>
  </si>
  <si>
    <t>Aditya Sharma Technologies</t>
  </si>
  <si>
    <t>S5150</t>
  </si>
  <si>
    <t>C1145</t>
  </si>
  <si>
    <t>Pooja Reddy Solutions</t>
  </si>
  <si>
    <t>2023-03-28</t>
  </si>
  <si>
    <t>S5151</t>
  </si>
  <si>
    <t>C1146</t>
  </si>
  <si>
    <t>Priya Iyer Technologies</t>
  </si>
  <si>
    <t>2023-01-16</t>
  </si>
  <si>
    <t>S5152</t>
  </si>
  <si>
    <t>C1147</t>
  </si>
  <si>
    <t>Vivaan Khan Technologies</t>
  </si>
  <si>
    <t>2023-11-07</t>
  </si>
  <si>
    <t>S5153</t>
  </si>
  <si>
    <t>C1148</t>
  </si>
  <si>
    <t>Divya Bose Solutions</t>
  </si>
  <si>
    <t>2024-09-04</t>
  </si>
  <si>
    <t>S5154</t>
  </si>
  <si>
    <t>C1149</t>
  </si>
  <si>
    <t>Vivaan Verma Technologies</t>
  </si>
  <si>
    <t>2023-04-23</t>
  </si>
  <si>
    <t>S5155</t>
  </si>
  <si>
    <t>C1150</t>
  </si>
  <si>
    <t>S5156</t>
  </si>
  <si>
    <t>2026-07-03</t>
  </si>
  <si>
    <t>C1151</t>
  </si>
  <si>
    <t>Aman Gupta Solutions</t>
  </si>
  <si>
    <t>2023-07-20</t>
  </si>
  <si>
    <t>S5157</t>
  </si>
  <si>
    <t>2024-11-19</t>
  </si>
  <si>
    <t>C1152</t>
  </si>
  <si>
    <t>Nikita Verma Technologies</t>
  </si>
  <si>
    <t>2024-08-03</t>
  </si>
  <si>
    <t>S5158</t>
  </si>
  <si>
    <t>2025-05-27</t>
  </si>
  <si>
    <t>C1153</t>
  </si>
  <si>
    <t>Aadhya Patel Solutions</t>
  </si>
  <si>
    <t>2024-08-10</t>
  </si>
  <si>
    <t>S5159</t>
  </si>
  <si>
    <t>C1154</t>
  </si>
  <si>
    <t>Kiara Das Group</t>
  </si>
  <si>
    <t>2024-10-29</t>
  </si>
  <si>
    <t>S5160</t>
  </si>
  <si>
    <t>2025-03-16</t>
  </si>
  <si>
    <t>S5161</t>
  </si>
  <si>
    <t>2025-04-12</t>
  </si>
  <si>
    <t>2025-10-20</t>
  </si>
  <si>
    <t>C1155</t>
  </si>
  <si>
    <t>Naveen Verma Technologies</t>
  </si>
  <si>
    <t>2023-09-30</t>
  </si>
  <si>
    <t>S5162</t>
  </si>
  <si>
    <t>C1156</t>
  </si>
  <si>
    <t>Diya Sharma Technologies</t>
  </si>
  <si>
    <t>S5163</t>
  </si>
  <si>
    <t>C1157</t>
  </si>
  <si>
    <t>Meera Joshi Solutions</t>
  </si>
  <si>
    <t>2024-02-24</t>
  </si>
  <si>
    <t>S5164</t>
  </si>
  <si>
    <t>C1158</t>
  </si>
  <si>
    <t>Farhan Nair Labs</t>
  </si>
  <si>
    <t>2023-03-21</t>
  </si>
  <si>
    <t>S5165</t>
  </si>
  <si>
    <t>C1159</t>
  </si>
  <si>
    <t>Deepak Bose Systems</t>
  </si>
  <si>
    <t>2024-09-02</t>
  </si>
  <si>
    <t>S5166</t>
  </si>
  <si>
    <t>C1160</t>
  </si>
  <si>
    <t>2024-12-11</t>
  </si>
  <si>
    <t>S5167</t>
  </si>
  <si>
    <t>C1161</t>
  </si>
  <si>
    <t>Sneha Das Systems</t>
  </si>
  <si>
    <t>2024-05-18</t>
  </si>
  <si>
    <t>S5168</t>
  </si>
  <si>
    <t>C1162</t>
  </si>
  <si>
    <t>Divya Nair Technologies</t>
  </si>
  <si>
    <t>2024-09-08</t>
  </si>
  <si>
    <t>S5169</t>
  </si>
  <si>
    <t>2025-09-18</t>
  </si>
  <si>
    <t>C1163</t>
  </si>
  <si>
    <t>2023-09-03</t>
  </si>
  <si>
    <t>S5170</t>
  </si>
  <si>
    <t>C1164</t>
  </si>
  <si>
    <t>Saanvi Menon Systems</t>
  </si>
  <si>
    <t>2023-10-06</t>
  </si>
  <si>
    <t>S5171</t>
  </si>
  <si>
    <t>C1165</t>
  </si>
  <si>
    <t>Arjun Das Solutions</t>
  </si>
  <si>
    <t>2024-03-12</t>
  </si>
  <si>
    <t>S5172</t>
  </si>
  <si>
    <t>C1166</t>
  </si>
  <si>
    <t>Deepak Joshi Industries</t>
  </si>
  <si>
    <t>2024-08-30</t>
  </si>
  <si>
    <t>S5173</t>
  </si>
  <si>
    <t>C1167</t>
  </si>
  <si>
    <t>Aarav Patel Labs</t>
  </si>
  <si>
    <t>2023-04-19</t>
  </si>
  <si>
    <t>S5174</t>
  </si>
  <si>
    <t>C1168</t>
  </si>
  <si>
    <t>Aditya Joshi Solutions</t>
  </si>
  <si>
    <t>2023-10-30</t>
  </si>
  <si>
    <t>S5175</t>
  </si>
  <si>
    <t>C1169</t>
  </si>
  <si>
    <t>2024-09-01</t>
  </si>
  <si>
    <t>S5176</t>
  </si>
  <si>
    <t>C1170</t>
  </si>
  <si>
    <t>Diya Verma Industries</t>
  </si>
  <si>
    <t>2023-12-28</t>
  </si>
  <si>
    <t>S5177</t>
  </si>
  <si>
    <t>2024-05-28</t>
  </si>
  <si>
    <t>C1171</t>
  </si>
  <si>
    <t>Aditya Khan Industries</t>
  </si>
  <si>
    <t>2023-11-04</t>
  </si>
  <si>
    <t>S5178</t>
  </si>
  <si>
    <t>C1172</t>
  </si>
  <si>
    <t>Reyansh Menon Industries</t>
  </si>
  <si>
    <t>2024-11-08</t>
  </si>
  <si>
    <t>S5179</t>
  </si>
  <si>
    <t>C1173</t>
  </si>
  <si>
    <t>Kiara Bose Labs</t>
  </si>
  <si>
    <t>2024-09-03</t>
  </si>
  <si>
    <t>S5180</t>
  </si>
  <si>
    <t>2025-08-05</t>
  </si>
  <si>
    <t>C1174</t>
  </si>
  <si>
    <t>Vivaan Verma Systems</t>
  </si>
  <si>
    <t>2024-08-29</t>
  </si>
  <si>
    <t>S5181</t>
  </si>
  <si>
    <t>C1175</t>
  </si>
  <si>
    <t>Pooja Bose Solutions</t>
  </si>
  <si>
    <t>2023-05-31</t>
  </si>
  <si>
    <t>S5182</t>
  </si>
  <si>
    <t>C1176</t>
  </si>
  <si>
    <t>Sneha Khan Technologies</t>
  </si>
  <si>
    <t>2024-08-26</t>
  </si>
  <si>
    <t>S5183</t>
  </si>
  <si>
    <t>2025-02-22</t>
  </si>
  <si>
    <t>C1177</t>
  </si>
  <si>
    <t>2023-11-13</t>
  </si>
  <si>
    <t>S5184</t>
  </si>
  <si>
    <t>C1178</t>
  </si>
  <si>
    <t>Isha Menon Solutions</t>
  </si>
  <si>
    <t>S5185</t>
  </si>
  <si>
    <t>C1179</t>
  </si>
  <si>
    <t>Sneha Iyer Solutions</t>
  </si>
  <si>
    <t>2023-08-13</t>
  </si>
  <si>
    <t>S5186</t>
  </si>
  <si>
    <t>2024-02-02</t>
  </si>
  <si>
    <t>C1180</t>
  </si>
  <si>
    <t>Rahul Menon Labs</t>
  </si>
  <si>
    <t>2023-08-14</t>
  </si>
  <si>
    <t>S5187</t>
  </si>
  <si>
    <t>C1181</t>
  </si>
  <si>
    <t>Isha Reddy Labs</t>
  </si>
  <si>
    <t>2024-09-28</t>
  </si>
  <si>
    <t>S5188</t>
  </si>
  <si>
    <t>2024-12-14</t>
  </si>
  <si>
    <t>C1182</t>
  </si>
  <si>
    <t>Arun Menon Labs</t>
  </si>
  <si>
    <t>2023-09-21</t>
  </si>
  <si>
    <t>S5189</t>
  </si>
  <si>
    <t>2025-02-13</t>
  </si>
  <si>
    <t>C1183</t>
  </si>
  <si>
    <t>Sanjay Gupta Labs</t>
  </si>
  <si>
    <t>2024-04-03</t>
  </si>
  <si>
    <t>S5190</t>
  </si>
  <si>
    <t>2025-07-20</t>
  </si>
  <si>
    <t>S5191</t>
  </si>
  <si>
    <t>2025-10-15</t>
  </si>
  <si>
    <t>2026-04-28</t>
  </si>
  <si>
    <t>C1184</t>
  </si>
  <si>
    <t>Meera Verma Group</t>
  </si>
  <si>
    <t>2023-04-15</t>
  </si>
  <si>
    <t>S5192</t>
  </si>
  <si>
    <t>C1185</t>
  </si>
  <si>
    <t>Zoya Rao Labs</t>
  </si>
  <si>
    <t>2024-08-23</t>
  </si>
  <si>
    <t>S5193</t>
  </si>
  <si>
    <t>2025-12-10</t>
  </si>
  <si>
    <t>C1186</t>
  </si>
  <si>
    <t>Diya Rao Technologies</t>
  </si>
  <si>
    <t>2023-10-05</t>
  </si>
  <si>
    <t>S5194</t>
  </si>
  <si>
    <t>C1187</t>
  </si>
  <si>
    <t>Pooja Gupta Group</t>
  </si>
  <si>
    <t>2024-03-20</t>
  </si>
  <si>
    <t>S5195</t>
  </si>
  <si>
    <t>C1188</t>
  </si>
  <si>
    <t>Tara Rao Industries</t>
  </si>
  <si>
    <t>2023-07-21</t>
  </si>
  <si>
    <t>S5196</t>
  </si>
  <si>
    <t>C1189</t>
  </si>
  <si>
    <t>Kiara Patel Group</t>
  </si>
  <si>
    <t>S5197</t>
  </si>
  <si>
    <t>2026-01-26</t>
  </si>
  <si>
    <t>C1190</t>
  </si>
  <si>
    <t>Myra Joshi Solutions</t>
  </si>
  <si>
    <t>2023-02-14</t>
  </si>
  <si>
    <t>S5198</t>
  </si>
  <si>
    <t>C1191</t>
  </si>
  <si>
    <t>Sai Patel Industries</t>
  </si>
  <si>
    <t>2023-12-31</t>
  </si>
  <si>
    <t>S5199</t>
  </si>
  <si>
    <t>C1192</t>
  </si>
  <si>
    <t>Deepak Nair Technologies</t>
  </si>
  <si>
    <t>2023-07-05</t>
  </si>
  <si>
    <t>S5200</t>
  </si>
  <si>
    <t>C1193</t>
  </si>
  <si>
    <t>Diya Menon Systems</t>
  </si>
  <si>
    <t>S5201</t>
  </si>
  <si>
    <t>C1194</t>
  </si>
  <si>
    <t>Zoya Bose Group</t>
  </si>
  <si>
    <t>2024-03-19</t>
  </si>
  <si>
    <t>S5202</t>
  </si>
  <si>
    <t>2025-08-13</t>
  </si>
  <si>
    <t>S5203</t>
  </si>
  <si>
    <t>2025-09-23</t>
  </si>
  <si>
    <t>2025-12-16</t>
  </si>
  <si>
    <t>C1195</t>
  </si>
  <si>
    <t>Aman Gupta Labs</t>
  </si>
  <si>
    <t>2023-05-03</t>
  </si>
  <si>
    <t>S5204</t>
  </si>
  <si>
    <t>C1196</t>
  </si>
  <si>
    <t>Ananya Singh Industries</t>
  </si>
  <si>
    <t>2023-03-16</t>
  </si>
  <si>
    <t>S5205</t>
  </si>
  <si>
    <t>C1197</t>
  </si>
  <si>
    <t>Sanjay Menon Industries</t>
  </si>
  <si>
    <t>2024-04-28</t>
  </si>
  <si>
    <t>S5206</t>
  </si>
  <si>
    <t>C1198</t>
  </si>
  <si>
    <t>Ananya Sharma Labs</t>
  </si>
  <si>
    <t>2023-04-26</t>
  </si>
  <si>
    <t>S5207</t>
  </si>
  <si>
    <t>C1199</t>
  </si>
  <si>
    <t>S5208</t>
  </si>
  <si>
    <t>C1200</t>
  </si>
  <si>
    <t>Kavya Rao Industries</t>
  </si>
  <si>
    <t>2024-11-10</t>
  </si>
  <si>
    <t>S5209</t>
  </si>
  <si>
    <t>C1201</t>
  </si>
  <si>
    <t>Naveen Patel Labs</t>
  </si>
  <si>
    <t>2024-12-07</t>
  </si>
  <si>
    <t>S5210</t>
  </si>
  <si>
    <t>C1202</t>
  </si>
  <si>
    <t>Karthik Iyer Labs</t>
  </si>
  <si>
    <t>2024-12-06</t>
  </si>
  <si>
    <t>S5211</t>
  </si>
  <si>
    <t>2025-07-07</t>
  </si>
  <si>
    <t>S5212</t>
  </si>
  <si>
    <t>2025-07-24</t>
  </si>
  <si>
    <t>2026-09-05</t>
  </si>
  <si>
    <t>C1203</t>
  </si>
  <si>
    <t>Saanvi Reddy Industries</t>
  </si>
  <si>
    <t>2024-10-24</t>
  </si>
  <si>
    <t>S5213</t>
  </si>
  <si>
    <t>C1204</t>
  </si>
  <si>
    <t>Aman Reddy Systems</t>
  </si>
  <si>
    <t>S5214</t>
  </si>
  <si>
    <t>C1205</t>
  </si>
  <si>
    <t>Isha Joshi Labs</t>
  </si>
  <si>
    <t>2023-11-16</t>
  </si>
  <si>
    <t>S5215</t>
  </si>
  <si>
    <t>2024-10-22</t>
  </si>
  <si>
    <t>C1206</t>
  </si>
  <si>
    <t>Zoya Gupta Group</t>
  </si>
  <si>
    <t>S5216</t>
  </si>
  <si>
    <t>C1207</t>
  </si>
  <si>
    <t>Sneha Gupta Technologies</t>
  </si>
  <si>
    <t>2023-04-17</t>
  </si>
  <si>
    <t>S5217</t>
  </si>
  <si>
    <t>C1208</t>
  </si>
  <si>
    <t>2023-10-02</t>
  </si>
  <si>
    <t>S5218</t>
  </si>
  <si>
    <t>C1209</t>
  </si>
  <si>
    <t>Rahul Khan Systems</t>
  </si>
  <si>
    <t>2023-08-28</t>
  </si>
  <si>
    <t>S5219</t>
  </si>
  <si>
    <t>2024-01-31</t>
  </si>
  <si>
    <t>C1210</t>
  </si>
  <si>
    <t>Deepak Patel Technologies</t>
  </si>
  <si>
    <t>S5220</t>
  </si>
  <si>
    <t>2024-07-07</t>
  </si>
  <si>
    <t>C1211</t>
  </si>
  <si>
    <t>Krishna Iyer Solutions</t>
  </si>
  <si>
    <t>2024-10-13</t>
  </si>
  <si>
    <t>S5221</t>
  </si>
  <si>
    <t>C1212</t>
  </si>
  <si>
    <t>Sai Verma Solutions</t>
  </si>
  <si>
    <t>2023-06-27</t>
  </si>
  <si>
    <t>S5222</t>
  </si>
  <si>
    <t>C1213</t>
  </si>
  <si>
    <t>Nikita Verma Labs</t>
  </si>
  <si>
    <t>S5223</t>
  </si>
  <si>
    <t>C1214</t>
  </si>
  <si>
    <t>Sneha Sharma Technologies</t>
  </si>
  <si>
    <t>S5224</t>
  </si>
  <si>
    <t>C1215</t>
  </si>
  <si>
    <t>Zoya Patel Solutions</t>
  </si>
  <si>
    <t>2024-08-28</t>
  </si>
  <si>
    <t>S5225</t>
  </si>
  <si>
    <t>C1216</t>
  </si>
  <si>
    <t>Nikita Khan Systems</t>
  </si>
  <si>
    <t>2023-08-25</t>
  </si>
  <si>
    <t>S5226</t>
  </si>
  <si>
    <t>C1217</t>
  </si>
  <si>
    <t>Sai Iyer Industries</t>
  </si>
  <si>
    <t>2023-03-06</t>
  </si>
  <si>
    <t>S5227</t>
  </si>
  <si>
    <t>2024-02-18</t>
  </si>
  <si>
    <t>C1218</t>
  </si>
  <si>
    <t>Reyansh Joshi Group</t>
  </si>
  <si>
    <t>2025-01-19</t>
  </si>
  <si>
    <t>S5228</t>
  </si>
  <si>
    <t>C1219</t>
  </si>
  <si>
    <t>Tara Nair Group</t>
  </si>
  <si>
    <t>S5229</t>
  </si>
  <si>
    <t>2023-07-10</t>
  </si>
  <si>
    <t>S5230</t>
  </si>
  <si>
    <t>C1220</t>
  </si>
  <si>
    <t>Diya Rao Solutions</t>
  </si>
  <si>
    <t>2023-02-28</t>
  </si>
  <si>
    <t>S5231</t>
  </si>
  <si>
    <t>C1221</t>
  </si>
  <si>
    <t>Rahul Gupta Solutions</t>
  </si>
  <si>
    <t>2023-05-20</t>
  </si>
  <si>
    <t>S5232</t>
  </si>
  <si>
    <t>2024-08-31</t>
  </si>
  <si>
    <t>C1222</t>
  </si>
  <si>
    <t>Aarav Verma Labs</t>
  </si>
  <si>
    <t>2024-09-13</t>
  </si>
  <si>
    <t>S5233</t>
  </si>
  <si>
    <t>C1223</t>
  </si>
  <si>
    <t>Vihaan Joshi Industries</t>
  </si>
  <si>
    <t>2024-08-07</t>
  </si>
  <si>
    <t>S5234</t>
  </si>
  <si>
    <t>C1224</t>
  </si>
  <si>
    <t>Isha Patel Technologies</t>
  </si>
  <si>
    <t>2024-02-15</t>
  </si>
  <si>
    <t>S5235</t>
  </si>
  <si>
    <t>C1225</t>
  </si>
  <si>
    <t>Diya Patel Industries</t>
  </si>
  <si>
    <t>S5236</t>
  </si>
  <si>
    <t>2024-10-14</t>
  </si>
  <si>
    <t>S5237</t>
  </si>
  <si>
    <t>C1226</t>
  </si>
  <si>
    <t>Ishaan Patel Industries</t>
  </si>
  <si>
    <t>2023-05-04</t>
  </si>
  <si>
    <t>S5238</t>
  </si>
  <si>
    <t>C1227</t>
  </si>
  <si>
    <t>Karthik Das Industries</t>
  </si>
  <si>
    <t>2024-04-25</t>
  </si>
  <si>
    <t>S5239</t>
  </si>
  <si>
    <t>2024-08-20</t>
  </si>
  <si>
    <t>C1228</t>
  </si>
  <si>
    <t>Kiara Sharma Solutions</t>
  </si>
  <si>
    <t>2023-12-08</t>
  </si>
  <si>
    <t>S5240</t>
  </si>
  <si>
    <t>C1229</t>
  </si>
  <si>
    <t>Farhan Verma Technologies</t>
  </si>
  <si>
    <t>2024-02-23</t>
  </si>
  <si>
    <t>S5241</t>
  </si>
  <si>
    <t>C1230</t>
  </si>
  <si>
    <t>2023-07-24</t>
  </si>
  <si>
    <t>S5242</t>
  </si>
  <si>
    <t>S5243</t>
  </si>
  <si>
    <t>2025-01-06</t>
  </si>
  <si>
    <t>C1231</t>
  </si>
  <si>
    <t>Aditya Patel Group</t>
  </si>
  <si>
    <t>2023-12-09</t>
  </si>
  <si>
    <t>S5244</t>
  </si>
  <si>
    <t>C1232</t>
  </si>
  <si>
    <t>Rohan Bose Systems</t>
  </si>
  <si>
    <t>S5245</t>
  </si>
  <si>
    <t>C1233</t>
  </si>
  <si>
    <t>Deepak Patel Labs</t>
  </si>
  <si>
    <t>2024-08-17</t>
  </si>
  <si>
    <t>S5246</t>
  </si>
  <si>
    <t>C1234</t>
  </si>
  <si>
    <t>Farhan Singh Industries</t>
  </si>
  <si>
    <t>2023-05-15</t>
  </si>
  <si>
    <t>S5247</t>
  </si>
  <si>
    <t>C1235</t>
  </si>
  <si>
    <t>Vivaan Bose Technologies</t>
  </si>
  <si>
    <t>S5248</t>
  </si>
  <si>
    <t>C1236</t>
  </si>
  <si>
    <t>Saanvi Rao Industries</t>
  </si>
  <si>
    <t>2023-03-15</t>
  </si>
  <si>
    <t>S5249</t>
  </si>
  <si>
    <t>2023-07-31</t>
  </si>
  <si>
    <t>C1237</t>
  </si>
  <si>
    <t>Arun Rao Systems</t>
  </si>
  <si>
    <t>2024-07-20</t>
  </si>
  <si>
    <t>S5250</t>
  </si>
  <si>
    <t>C1238</t>
  </si>
  <si>
    <t>Tara Gupta Technologies</t>
  </si>
  <si>
    <t>2023-05-23</t>
  </si>
  <si>
    <t>S5251</t>
  </si>
  <si>
    <t>2025-01-18</t>
  </si>
  <si>
    <t>C1239</t>
  </si>
  <si>
    <t>Pooja Nair Solutions</t>
  </si>
  <si>
    <t>2023-05-30</t>
  </si>
  <si>
    <t>S5252</t>
  </si>
  <si>
    <t>2023-08-19</t>
  </si>
  <si>
    <t>C1240</t>
  </si>
  <si>
    <t>Aadhya Gupta Group</t>
  </si>
  <si>
    <t>2025-01-12</t>
  </si>
  <si>
    <t>S5253</t>
  </si>
  <si>
    <t>C1241</t>
  </si>
  <si>
    <t>Rohan Iyer Group</t>
  </si>
  <si>
    <t>S5254</t>
  </si>
  <si>
    <t>2024-11-25</t>
  </si>
  <si>
    <t>C1242</t>
  </si>
  <si>
    <t>2024-11-12</t>
  </si>
  <si>
    <t>S5255</t>
  </si>
  <si>
    <t>2025-12-27</t>
  </si>
  <si>
    <t>S5256</t>
  </si>
  <si>
    <t>2026-01-28</t>
  </si>
  <si>
    <t>C1243</t>
  </si>
  <si>
    <t>Aditya Patel Solutions</t>
  </si>
  <si>
    <t>2023-12-03</t>
  </si>
  <si>
    <t>S5257</t>
  </si>
  <si>
    <t>C1244</t>
  </si>
  <si>
    <t>Myra Sharma Industries</t>
  </si>
  <si>
    <t>2024-11-20</t>
  </si>
  <si>
    <t>S5258</t>
  </si>
  <si>
    <t>C1245</t>
  </si>
  <si>
    <t>Aadhya Sharma Labs</t>
  </si>
  <si>
    <t>2024-12-08</t>
  </si>
  <si>
    <t>S5259</t>
  </si>
  <si>
    <t>C1246</t>
  </si>
  <si>
    <t>Aditya Sharma Group</t>
  </si>
  <si>
    <t>S5260</t>
  </si>
  <si>
    <t>C1247</t>
  </si>
  <si>
    <t>Karthik Sharma Technologies</t>
  </si>
  <si>
    <t>S5261</t>
  </si>
  <si>
    <t>C1248</t>
  </si>
  <si>
    <t>Farhan Bose Solutions</t>
  </si>
  <si>
    <t>2024-04-18</t>
  </si>
  <si>
    <t>S5262</t>
  </si>
  <si>
    <t>C1249</t>
  </si>
  <si>
    <t>Ananya Singh Solutions</t>
  </si>
  <si>
    <t>2023-04-12</t>
  </si>
  <si>
    <t>S5263</t>
  </si>
  <si>
    <t>C1250</t>
  </si>
  <si>
    <t>Sai Rao Industries</t>
  </si>
  <si>
    <t>S5264</t>
  </si>
  <si>
    <t>C1251</t>
  </si>
  <si>
    <t>Diya Khan Group</t>
  </si>
  <si>
    <t>2023-03-19</t>
  </si>
  <si>
    <t>S5265</t>
  </si>
  <si>
    <t>C1252</t>
  </si>
  <si>
    <t>Meera Sharma Industries</t>
  </si>
  <si>
    <t>2023-07-22</t>
  </si>
  <si>
    <t>S5266</t>
  </si>
  <si>
    <t>2025-02-12</t>
  </si>
  <si>
    <t>C1253</t>
  </si>
  <si>
    <t>Karthik Rao Solutions</t>
  </si>
  <si>
    <t>S5267</t>
  </si>
  <si>
    <t>2025-09-24</t>
  </si>
  <si>
    <t>S5268</t>
  </si>
  <si>
    <t>2025-11-11</t>
  </si>
  <si>
    <t>C1254</t>
  </si>
  <si>
    <t>Rohan Nair Technologies</t>
  </si>
  <si>
    <t>S5269</t>
  </si>
  <si>
    <t>C1255</t>
  </si>
  <si>
    <t>Riya Joshi Labs</t>
  </si>
  <si>
    <t>S5270</t>
  </si>
  <si>
    <t>2025-02-25</t>
  </si>
  <si>
    <t>C1256</t>
  </si>
  <si>
    <t>Sai Gupta Technologies</t>
  </si>
  <si>
    <t>2024-03-30</t>
  </si>
  <si>
    <t>S5271</t>
  </si>
  <si>
    <t>C1257</t>
  </si>
  <si>
    <t>Vihaan Patel Solutions</t>
  </si>
  <si>
    <t>2023-11-18</t>
  </si>
  <si>
    <t>S5272</t>
  </si>
  <si>
    <t>C1258</t>
  </si>
  <si>
    <t>Myra Verma Technologies</t>
  </si>
  <si>
    <t>2024-02-27</t>
  </si>
  <si>
    <t>S5273</t>
  </si>
  <si>
    <t>2024-06-29</t>
  </si>
  <si>
    <t>C1259</t>
  </si>
  <si>
    <t>Priya Reddy Systems</t>
  </si>
  <si>
    <t>2024-10-31</t>
  </si>
  <si>
    <t>S5274</t>
  </si>
  <si>
    <t>C1260</t>
  </si>
  <si>
    <t>Meera Iyer Technologies</t>
  </si>
  <si>
    <t>2023-06-11</t>
  </si>
  <si>
    <t>S5275</t>
  </si>
  <si>
    <t>C1261</t>
  </si>
  <si>
    <t>Reyansh Menon Labs</t>
  </si>
  <si>
    <t>S5276</t>
  </si>
  <si>
    <t>2024-06-08</t>
  </si>
  <si>
    <t>C1262</t>
  </si>
  <si>
    <t>Arun Joshi Group</t>
  </si>
  <si>
    <t>2024-04-09</t>
  </si>
  <si>
    <t>S5277</t>
  </si>
  <si>
    <t>C1263</t>
  </si>
  <si>
    <t>Deepak Reddy Industries</t>
  </si>
  <si>
    <t>2025-01-05</t>
  </si>
  <si>
    <t>S5278</t>
  </si>
  <si>
    <t>C1264</t>
  </si>
  <si>
    <t>Aarav Nair Solutions</t>
  </si>
  <si>
    <t>S5279</t>
  </si>
  <si>
    <t>C1265</t>
  </si>
  <si>
    <t>Aditya Reddy Solutions</t>
  </si>
  <si>
    <t>2023-10-23</t>
  </si>
  <si>
    <t>S5280</t>
  </si>
  <si>
    <t>C1266</t>
  </si>
  <si>
    <t>Arun Nair Systems</t>
  </si>
  <si>
    <t>2023-07-04</t>
  </si>
  <si>
    <t>S5281</t>
  </si>
  <si>
    <t>C1267</t>
  </si>
  <si>
    <t>Nikita Rao Industries</t>
  </si>
  <si>
    <t>2023-11-09</t>
  </si>
  <si>
    <t>S5282</t>
  </si>
  <si>
    <t>2024-04-16</t>
  </si>
  <si>
    <t>C1268</t>
  </si>
  <si>
    <t>Deepak Patel Industries</t>
  </si>
  <si>
    <t>2023-08-21</t>
  </si>
  <si>
    <t>S5283</t>
  </si>
  <si>
    <t>C1269</t>
  </si>
  <si>
    <t>S5284</t>
  </si>
  <si>
    <t>2025-08-04</t>
  </si>
  <si>
    <t>C1270</t>
  </si>
  <si>
    <t>Farhan Menon Group</t>
  </si>
  <si>
    <t>2024-06-22</t>
  </si>
  <si>
    <t>S5285</t>
  </si>
  <si>
    <t>C1271</t>
  </si>
  <si>
    <t>Myra Gupta Industries</t>
  </si>
  <si>
    <t>S5286</t>
  </si>
  <si>
    <t>C1272</t>
  </si>
  <si>
    <t>Pooja Joshi Industries</t>
  </si>
  <si>
    <t>S5287</t>
  </si>
  <si>
    <t>C1273</t>
  </si>
  <si>
    <t>Ananya Menon Systems</t>
  </si>
  <si>
    <t>S5288</t>
  </si>
  <si>
    <t>C1274</t>
  </si>
  <si>
    <t>S5289</t>
  </si>
  <si>
    <t>2025-05-07</t>
  </si>
  <si>
    <t>C1275</t>
  </si>
  <si>
    <t>2023-09-06</t>
  </si>
  <si>
    <t>S5290</t>
  </si>
  <si>
    <t>2024-09-21</t>
  </si>
  <si>
    <t>C1276</t>
  </si>
  <si>
    <t>Myra Reddy Industries</t>
  </si>
  <si>
    <t>2024-06-23</t>
  </si>
  <si>
    <t>S5291</t>
  </si>
  <si>
    <t>2024-10-08</t>
  </si>
  <si>
    <t>C1277</t>
  </si>
  <si>
    <t>Kiara Gupta Industries</t>
  </si>
  <si>
    <t>2023-01-19</t>
  </si>
  <si>
    <t>S5292</t>
  </si>
  <si>
    <t>C1278</t>
  </si>
  <si>
    <t>2024-02-14</t>
  </si>
  <si>
    <t>S5293</t>
  </si>
  <si>
    <t>2025-03-28</t>
  </si>
  <si>
    <t>C1279</t>
  </si>
  <si>
    <t>Divya Verma Solutions</t>
  </si>
  <si>
    <t>2024-06-19</t>
  </si>
  <si>
    <t>S5294</t>
  </si>
  <si>
    <t>2025-02-28</t>
  </si>
  <si>
    <t>C1280</t>
  </si>
  <si>
    <t>Aman Patel Systems</t>
  </si>
  <si>
    <t>S5295</t>
  </si>
  <si>
    <t>C1281</t>
  </si>
  <si>
    <t>Farhan Das Group</t>
  </si>
  <si>
    <t>2024-05-17</t>
  </si>
  <si>
    <t>S5296</t>
  </si>
  <si>
    <t>2025-12-09</t>
  </si>
  <si>
    <t>C1282</t>
  </si>
  <si>
    <t>2024-12-03</t>
  </si>
  <si>
    <t>S5297</t>
  </si>
  <si>
    <t>C1283</t>
  </si>
  <si>
    <t>Kiara Nair Industries</t>
  </si>
  <si>
    <t>2023-04-03</t>
  </si>
  <si>
    <t>S5298</t>
  </si>
  <si>
    <t>C1284</t>
  </si>
  <si>
    <t>Zoya Das Group</t>
  </si>
  <si>
    <t>2024-12-27</t>
  </si>
  <si>
    <t>S5299</t>
  </si>
  <si>
    <t>C1285</t>
  </si>
  <si>
    <t>Isha Verma Solutions</t>
  </si>
  <si>
    <t>2023-05-19</t>
  </si>
  <si>
    <t>S5300</t>
  </si>
  <si>
    <t>C1286</t>
  </si>
  <si>
    <t>Krishna Khan Solutions</t>
  </si>
  <si>
    <t>2023-10-27</t>
  </si>
  <si>
    <t>S5301</t>
  </si>
  <si>
    <t>C1287</t>
  </si>
  <si>
    <t>Farhan Nair Industries</t>
  </si>
  <si>
    <t>2023-09-09</t>
  </si>
  <si>
    <t>S5302</t>
  </si>
  <si>
    <t>C1288</t>
  </si>
  <si>
    <t>Kiara Das Labs</t>
  </si>
  <si>
    <t>2024-09-09</t>
  </si>
  <si>
    <t>S5303</t>
  </si>
  <si>
    <t>C1289</t>
  </si>
  <si>
    <t>Karthik Patel Systems</t>
  </si>
  <si>
    <t>S5304</t>
  </si>
  <si>
    <t>C1290</t>
  </si>
  <si>
    <t>Riya Singh Systems</t>
  </si>
  <si>
    <t>2023-05-09</t>
  </si>
  <si>
    <t>S5305</t>
  </si>
  <si>
    <t>C1291</t>
  </si>
  <si>
    <t>Diya Rao Systems</t>
  </si>
  <si>
    <t>2024-11-30</t>
  </si>
  <si>
    <t>S5306</t>
  </si>
  <si>
    <t>C1292</t>
  </si>
  <si>
    <t>Divya Sharma Technologies</t>
  </si>
  <si>
    <t>S5307</t>
  </si>
  <si>
    <t>C1293</t>
  </si>
  <si>
    <t>S5308</t>
  </si>
  <si>
    <t>C1294</t>
  </si>
  <si>
    <t>Meera Singh Group</t>
  </si>
  <si>
    <t>S5309</t>
  </si>
  <si>
    <t>2024-02-08</t>
  </si>
  <si>
    <t>C1295</t>
  </si>
  <si>
    <t>Aman Joshi Group</t>
  </si>
  <si>
    <t>S5310</t>
  </si>
  <si>
    <t>C1296</t>
  </si>
  <si>
    <t>Saanvi Khan Group</t>
  </si>
  <si>
    <t>2023-02-12</t>
  </si>
  <si>
    <t>S5311</t>
  </si>
  <si>
    <t>C1297</t>
  </si>
  <si>
    <t>Naveen Sharma Technologies</t>
  </si>
  <si>
    <t>2023-09-16</t>
  </si>
  <si>
    <t>S5312</t>
  </si>
  <si>
    <t>C1298</t>
  </si>
  <si>
    <t>Riya Menon Systems</t>
  </si>
  <si>
    <t>2023-04-14</t>
  </si>
  <si>
    <t>S5313</t>
  </si>
  <si>
    <t>C1299</t>
  </si>
  <si>
    <t>Rahul Iyer Group</t>
  </si>
  <si>
    <t>2023-08-23</t>
  </si>
  <si>
    <t>S5314</t>
  </si>
  <si>
    <t>C1300</t>
  </si>
  <si>
    <t>2023-06-19</t>
  </si>
  <si>
    <t>S5315</t>
  </si>
  <si>
    <t>C1301</t>
  </si>
  <si>
    <t>Sanjay Verma Industries</t>
  </si>
  <si>
    <t>2023-02-23</t>
  </si>
  <si>
    <t>S5316</t>
  </si>
  <si>
    <t>C1302</t>
  </si>
  <si>
    <t>Ishaan Singh Industries</t>
  </si>
  <si>
    <t>2024-05-13</t>
  </si>
  <si>
    <t>S5317</t>
  </si>
  <si>
    <t>2026-01-20</t>
  </si>
  <si>
    <t>C1303</t>
  </si>
  <si>
    <t>Farhan Khan Systems</t>
  </si>
  <si>
    <t>S5318</t>
  </si>
  <si>
    <t>C1304</t>
  </si>
  <si>
    <t>Karthik Sharma Group</t>
  </si>
  <si>
    <t>2023-10-18</t>
  </si>
  <si>
    <t>S5319</t>
  </si>
  <si>
    <t>C1305</t>
  </si>
  <si>
    <t>Ananya Reddy Solutions</t>
  </si>
  <si>
    <t>2024-11-01</t>
  </si>
  <si>
    <t>S5320</t>
  </si>
  <si>
    <t>C1306</t>
  </si>
  <si>
    <t>Ananya Nair Systems</t>
  </si>
  <si>
    <t>2024-06-24</t>
  </si>
  <si>
    <t>S5321</t>
  </si>
  <si>
    <t>C1307</t>
  </si>
  <si>
    <t>Rahul Reddy Technologies</t>
  </si>
  <si>
    <t>S5322</t>
  </si>
  <si>
    <t>C1308</t>
  </si>
  <si>
    <t>Naveen Gupta Labs</t>
  </si>
  <si>
    <t>2024-07-25</t>
  </si>
  <si>
    <t>S5323</t>
  </si>
  <si>
    <t>C1309</t>
  </si>
  <si>
    <t>Diya Gupta Labs</t>
  </si>
  <si>
    <t>2023-02-06</t>
  </si>
  <si>
    <t>S5324</t>
  </si>
  <si>
    <t>C1310</t>
  </si>
  <si>
    <t>Riya Das Technologies</t>
  </si>
  <si>
    <t>2024-08-25</t>
  </si>
  <si>
    <t>S5325</t>
  </si>
  <si>
    <t>C1311</t>
  </si>
  <si>
    <t>Kavya Rao Labs</t>
  </si>
  <si>
    <t>2024-03-25</t>
  </si>
  <si>
    <t>S5326</t>
  </si>
  <si>
    <t>2024-06-02</t>
  </si>
  <si>
    <t>C1312</t>
  </si>
  <si>
    <t>Saanvi Bose Labs</t>
  </si>
  <si>
    <t>2023-12-05</t>
  </si>
  <si>
    <t>S5327</t>
  </si>
  <si>
    <t>C1313</t>
  </si>
  <si>
    <t>Krishna Joshi Solutions</t>
  </si>
  <si>
    <t>S5328</t>
  </si>
  <si>
    <t>C1314</t>
  </si>
  <si>
    <t>Isha Joshi Industries</t>
  </si>
  <si>
    <t>2023-01-05</t>
  </si>
  <si>
    <t>S5329</t>
  </si>
  <si>
    <t>C1315</t>
  </si>
  <si>
    <t>2024-07-13</t>
  </si>
  <si>
    <t>S5330</t>
  </si>
  <si>
    <t>C1316</t>
  </si>
  <si>
    <t>Deepak Reddy Group</t>
  </si>
  <si>
    <t>S5331</t>
  </si>
  <si>
    <t>C1317</t>
  </si>
  <si>
    <t>Divya Patel Systems</t>
  </si>
  <si>
    <t>S5332</t>
  </si>
  <si>
    <t>C1318</t>
  </si>
  <si>
    <t>Vihaan Sharma Labs</t>
  </si>
  <si>
    <t>2023-09-28</t>
  </si>
  <si>
    <t>S5333</t>
  </si>
  <si>
    <t>C1319</t>
  </si>
  <si>
    <t>Divya Bose Group</t>
  </si>
  <si>
    <t>S5334</t>
  </si>
  <si>
    <t>C1320</t>
  </si>
  <si>
    <t>Vihaan Nair Labs</t>
  </si>
  <si>
    <t>2024-05-16</t>
  </si>
  <si>
    <t>S5335</t>
  </si>
  <si>
    <t>C1321</t>
  </si>
  <si>
    <t>Nikita Sharma Group</t>
  </si>
  <si>
    <t>S5336</t>
  </si>
  <si>
    <t>C1322</t>
  </si>
  <si>
    <t>Arjun Khan Systems</t>
  </si>
  <si>
    <t>S5337</t>
  </si>
  <si>
    <t>C1323</t>
  </si>
  <si>
    <t>Pooja Verma Labs</t>
  </si>
  <si>
    <t>S5338</t>
  </si>
  <si>
    <t>C1324</t>
  </si>
  <si>
    <t>Karthik Reddy Technologies</t>
  </si>
  <si>
    <t>2023-02-10</t>
  </si>
  <si>
    <t>S5339</t>
  </si>
  <si>
    <t>C1325</t>
  </si>
  <si>
    <t>S5340</t>
  </si>
  <si>
    <t>C1326</t>
  </si>
  <si>
    <t>Naveen Sharma Labs</t>
  </si>
  <si>
    <t>S5341</t>
  </si>
  <si>
    <t>C1327</t>
  </si>
  <si>
    <t>Nikita Menon Group</t>
  </si>
  <si>
    <t>2023-01-09</t>
  </si>
  <si>
    <t>S5342</t>
  </si>
  <si>
    <t>C1328</t>
  </si>
  <si>
    <t>Karthik Nair Labs</t>
  </si>
  <si>
    <t>2023-05-26</t>
  </si>
  <si>
    <t>S5343</t>
  </si>
  <si>
    <t>2024-04-11</t>
  </si>
  <si>
    <t>C1329</t>
  </si>
  <si>
    <t>Kavya Das Group</t>
  </si>
  <si>
    <t>2024-06-11</t>
  </si>
  <si>
    <t>S5344</t>
  </si>
  <si>
    <t>C1330</t>
  </si>
  <si>
    <t>Ananya Sharma Group</t>
  </si>
  <si>
    <t>S5345</t>
  </si>
  <si>
    <t>C1331</t>
  </si>
  <si>
    <t>Krishna Bose Industries</t>
  </si>
  <si>
    <t>S5346</t>
  </si>
  <si>
    <t>2024-12-30</t>
  </si>
  <si>
    <t>C1332</t>
  </si>
  <si>
    <t>2024-11-11</t>
  </si>
  <si>
    <t>S5347</t>
  </si>
  <si>
    <t>C1333</t>
  </si>
  <si>
    <t>Aditya Nair Systems</t>
  </si>
  <si>
    <t>2023-05-18</t>
  </si>
  <si>
    <t>S5348</t>
  </si>
  <si>
    <t>2024-06-04</t>
  </si>
  <si>
    <t>C1334</t>
  </si>
  <si>
    <t>Sai Menon Group</t>
  </si>
  <si>
    <t>2025-01-02</t>
  </si>
  <si>
    <t>S5349</t>
  </si>
  <si>
    <t>C1335</t>
  </si>
  <si>
    <t>Karthik Rao Systems</t>
  </si>
  <si>
    <t>2023-08-16</t>
  </si>
  <si>
    <t>S5350</t>
  </si>
  <si>
    <t>C1336</t>
  </si>
  <si>
    <t>Sai Reddy Industries</t>
  </si>
  <si>
    <t>2023-06-03</t>
  </si>
  <si>
    <t>S5351</t>
  </si>
  <si>
    <t>C1337</t>
  </si>
  <si>
    <t>Rohan Patel Systems</t>
  </si>
  <si>
    <t>S5352</t>
  </si>
  <si>
    <t>2025-03-08</t>
  </si>
  <si>
    <t>C1338</t>
  </si>
  <si>
    <t>Aadhya Singh Systems</t>
  </si>
  <si>
    <t>2023-04-20</t>
  </si>
  <si>
    <t>S5353</t>
  </si>
  <si>
    <t>C1339</t>
  </si>
  <si>
    <t>Nikita Iyer Group</t>
  </si>
  <si>
    <t>S5354</t>
  </si>
  <si>
    <t>C1340</t>
  </si>
  <si>
    <t>Zoya Joshi Technologies</t>
  </si>
  <si>
    <t>S5355</t>
  </si>
  <si>
    <t>C1341</t>
  </si>
  <si>
    <t>Isha Singh Group</t>
  </si>
  <si>
    <t>S5356</t>
  </si>
  <si>
    <t>C1342</t>
  </si>
  <si>
    <t>Divya Joshi Systems</t>
  </si>
  <si>
    <t>2023-05-29</t>
  </si>
  <si>
    <t>S5357</t>
  </si>
  <si>
    <t>C1343</t>
  </si>
  <si>
    <t>Isha Iyer Technologies</t>
  </si>
  <si>
    <t>2024-12-12</t>
  </si>
  <si>
    <t>S5358</t>
  </si>
  <si>
    <t>C1344</t>
  </si>
  <si>
    <t>2023-08-31</t>
  </si>
  <si>
    <t>S5359</t>
  </si>
  <si>
    <t>C1345</t>
  </si>
  <si>
    <t>Rahul Gupta Group</t>
  </si>
  <si>
    <t>2024-02-03</t>
  </si>
  <si>
    <t>S5360</t>
  </si>
  <si>
    <t>C1346</t>
  </si>
  <si>
    <t>Krishna Sharma Group</t>
  </si>
  <si>
    <t>2024-10-09</t>
  </si>
  <si>
    <t>S5361</t>
  </si>
  <si>
    <t>C1347</t>
  </si>
  <si>
    <t>Deepak Khan Solutions</t>
  </si>
  <si>
    <t>2023-11-03</t>
  </si>
  <si>
    <t>S5362</t>
  </si>
  <si>
    <t>C1348</t>
  </si>
  <si>
    <t>Aditya Menon Labs</t>
  </si>
  <si>
    <t>S5363</t>
  </si>
  <si>
    <t>C1349</t>
  </si>
  <si>
    <t>Krishna Joshi Systems</t>
  </si>
  <si>
    <t>2024-02-20</t>
  </si>
  <si>
    <t>S5364</t>
  </si>
  <si>
    <t>C1350</t>
  </si>
  <si>
    <t>2023-07-28</t>
  </si>
  <si>
    <t>S5365</t>
  </si>
  <si>
    <t>C1351</t>
  </si>
  <si>
    <t>Priya Gupta Systems</t>
  </si>
  <si>
    <t>S5366</t>
  </si>
  <si>
    <t>C1352</t>
  </si>
  <si>
    <t>Aditya Patel Industries</t>
  </si>
  <si>
    <t>S5367</t>
  </si>
  <si>
    <t>C1353</t>
  </si>
  <si>
    <t>S5368</t>
  </si>
  <si>
    <t>C1354</t>
  </si>
  <si>
    <t>Vivaan Reddy Group</t>
  </si>
  <si>
    <t>2023-01-07</t>
  </si>
  <si>
    <t>S5369</t>
  </si>
  <si>
    <t>C1355</t>
  </si>
  <si>
    <t>Nikita Reddy Technologies</t>
  </si>
  <si>
    <t>S5370</t>
  </si>
  <si>
    <t>2026-04-05</t>
  </si>
  <si>
    <t>C1356</t>
  </si>
  <si>
    <t>Divya Joshi Industries</t>
  </si>
  <si>
    <t>S5371</t>
  </si>
  <si>
    <t>C1357</t>
  </si>
  <si>
    <t>Saanvi Menon Labs</t>
  </si>
  <si>
    <t>2023-01-20</t>
  </si>
  <si>
    <t>S5372</t>
  </si>
  <si>
    <t>C1358</t>
  </si>
  <si>
    <t>Diya Das Systems</t>
  </si>
  <si>
    <t>S5373</t>
  </si>
  <si>
    <t>2024-10-07</t>
  </si>
  <si>
    <t>C1359</t>
  </si>
  <si>
    <t>Aman Rao Group</t>
  </si>
  <si>
    <t>2025-01-24</t>
  </si>
  <si>
    <t>S5374</t>
  </si>
  <si>
    <t>C1360</t>
  </si>
  <si>
    <t>Deepak Gupta Group</t>
  </si>
  <si>
    <t>2024-08-04</t>
  </si>
  <si>
    <t>S5375</t>
  </si>
  <si>
    <t>C1361</t>
  </si>
  <si>
    <t>Meera Khan Systems</t>
  </si>
  <si>
    <t>S5376</t>
  </si>
  <si>
    <t>C1362</t>
  </si>
  <si>
    <t>2023-03-31</t>
  </si>
  <si>
    <t>S5377</t>
  </si>
  <si>
    <t>C1363</t>
  </si>
  <si>
    <t>S5378</t>
  </si>
  <si>
    <t>C1364</t>
  </si>
  <si>
    <t>Aarav Bose Labs</t>
  </si>
  <si>
    <t>2023-12-01</t>
  </si>
  <si>
    <t>S5379</t>
  </si>
  <si>
    <t>C1365</t>
  </si>
  <si>
    <t>Diya Joshi Industries</t>
  </si>
  <si>
    <t>2024-06-26</t>
  </si>
  <si>
    <t>S5380</t>
  </si>
  <si>
    <t>C1366</t>
  </si>
  <si>
    <t>Kavya Verma Labs</t>
  </si>
  <si>
    <t>S5381</t>
  </si>
  <si>
    <t>C1367</t>
  </si>
  <si>
    <t>S5382</t>
  </si>
  <si>
    <t>C1368</t>
  </si>
  <si>
    <t>Priya Singh Solutions</t>
  </si>
  <si>
    <t>S5383</t>
  </si>
  <si>
    <t>C1369</t>
  </si>
  <si>
    <t>Meera Reddy Industries</t>
  </si>
  <si>
    <t>2024-11-29</t>
  </si>
  <si>
    <t>S5384</t>
  </si>
  <si>
    <t>C1370</t>
  </si>
  <si>
    <t>S5385</t>
  </si>
  <si>
    <t>C1371</t>
  </si>
  <si>
    <t>Nikita Singh Technologies</t>
  </si>
  <si>
    <t>2023-10-08</t>
  </si>
  <si>
    <t>S5386</t>
  </si>
  <si>
    <t>C1372</t>
  </si>
  <si>
    <t>Isha Joshi Group</t>
  </si>
  <si>
    <t>S5387</t>
  </si>
  <si>
    <t>C1373</t>
  </si>
  <si>
    <t>Naveen Patel Group</t>
  </si>
  <si>
    <t>2023-09-20</t>
  </si>
  <si>
    <t>S5388</t>
  </si>
  <si>
    <t>C1374</t>
  </si>
  <si>
    <t>2023-12-11</t>
  </si>
  <si>
    <t>S5389</t>
  </si>
  <si>
    <t>C1375</t>
  </si>
  <si>
    <t>Tara Bose Group</t>
  </si>
  <si>
    <t>2023-03-30</t>
  </si>
  <si>
    <t>S5390</t>
  </si>
  <si>
    <t>C1376</t>
  </si>
  <si>
    <t>Vivaan Khan Systems</t>
  </si>
  <si>
    <t>2023-06-29</t>
  </si>
  <si>
    <t>S5391</t>
  </si>
  <si>
    <t>C1377</t>
  </si>
  <si>
    <t>Zoya Bose Technologies</t>
  </si>
  <si>
    <t>2024-07-09</t>
  </si>
  <si>
    <t>S5392</t>
  </si>
  <si>
    <t>2025-06-15</t>
  </si>
  <si>
    <t>C1378</t>
  </si>
  <si>
    <t>Sneha Reddy Solutions</t>
  </si>
  <si>
    <t>2023-11-27</t>
  </si>
  <si>
    <t>S5393</t>
  </si>
  <si>
    <t>2025-04-02</t>
  </si>
  <si>
    <t>S5394</t>
  </si>
  <si>
    <t>C1379</t>
  </si>
  <si>
    <t>Pooja Rao Labs</t>
  </si>
  <si>
    <t>S5395</t>
  </si>
  <si>
    <t>C1380</t>
  </si>
  <si>
    <t>Ishaan Reddy Labs</t>
  </si>
  <si>
    <t>S5396</t>
  </si>
  <si>
    <t>2025-12-15</t>
  </si>
  <si>
    <t>C1381</t>
  </si>
  <si>
    <t>Diya Nair Systems</t>
  </si>
  <si>
    <t>2023-05-27</t>
  </si>
  <si>
    <t>S5397</t>
  </si>
  <si>
    <t>2025-01-08</t>
  </si>
  <si>
    <t>C1382</t>
  </si>
  <si>
    <t>Sai Singh Systems</t>
  </si>
  <si>
    <t>2024-09-25</t>
  </si>
  <si>
    <t>S5398</t>
  </si>
  <si>
    <t>C1383</t>
  </si>
  <si>
    <t>Myra Patel Solutions</t>
  </si>
  <si>
    <t>S5399</t>
  </si>
  <si>
    <t>C1384</t>
  </si>
  <si>
    <t>Arjun Joshi Technologies</t>
  </si>
  <si>
    <t>S5400</t>
  </si>
  <si>
    <t>C1385</t>
  </si>
  <si>
    <t>Vihaan Das Group</t>
  </si>
  <si>
    <t>S5401</t>
  </si>
  <si>
    <t>2025-01-30</t>
  </si>
  <si>
    <t>C1386</t>
  </si>
  <si>
    <t>Naveen Singh Technologies</t>
  </si>
  <si>
    <t>2023-01-21</t>
  </si>
  <si>
    <t>S5402</t>
  </si>
  <si>
    <t>C1387</t>
  </si>
  <si>
    <t>Arun Nair Solutions</t>
  </si>
  <si>
    <t>S5403</t>
  </si>
  <si>
    <t>C1388</t>
  </si>
  <si>
    <t>Sai Bose Group</t>
  </si>
  <si>
    <t>2023-06-08</t>
  </si>
  <si>
    <t>S5404</t>
  </si>
  <si>
    <t>C1389</t>
  </si>
  <si>
    <t>2024-01-01</t>
  </si>
  <si>
    <t>S5405</t>
  </si>
  <si>
    <t>C1390</t>
  </si>
  <si>
    <t>Rahul Reddy Labs</t>
  </si>
  <si>
    <t>S5406</t>
  </si>
  <si>
    <t>2025-11-07</t>
  </si>
  <si>
    <t>C1391</t>
  </si>
  <si>
    <t>Nikita Verma Industries</t>
  </si>
  <si>
    <t>2023-11-11</t>
  </si>
  <si>
    <t>S5407</t>
  </si>
  <si>
    <t>C1392</t>
  </si>
  <si>
    <t>Ananya Rao Industries</t>
  </si>
  <si>
    <t>2023-04-08</t>
  </si>
  <si>
    <t>S5408</t>
  </si>
  <si>
    <t>C1393</t>
  </si>
  <si>
    <t>Sneha Bose Technologies</t>
  </si>
  <si>
    <t>S5409</t>
  </si>
  <si>
    <t>C1394</t>
  </si>
  <si>
    <t>2023-05-07</t>
  </si>
  <si>
    <t>S5410</t>
  </si>
  <si>
    <t>C1395</t>
  </si>
  <si>
    <t>2024-11-05</t>
  </si>
  <si>
    <t>S5411</t>
  </si>
  <si>
    <t>C1396</t>
  </si>
  <si>
    <t>Sai Joshi Systems</t>
  </si>
  <si>
    <t>2023-12-18</t>
  </si>
  <si>
    <t>S5412</t>
  </si>
  <si>
    <t>C1397</t>
  </si>
  <si>
    <t>Divya Reddy Group</t>
  </si>
  <si>
    <t>2024-12-20</t>
  </si>
  <si>
    <t>S5413</t>
  </si>
  <si>
    <t>C1398</t>
  </si>
  <si>
    <t>Zoya Rao Group</t>
  </si>
  <si>
    <t>2024-01-21</t>
  </si>
  <si>
    <t>S5414</t>
  </si>
  <si>
    <t>C1399</t>
  </si>
  <si>
    <t>Aman Patel Technologies</t>
  </si>
  <si>
    <t>2024-03-29</t>
  </si>
  <si>
    <t>S5415</t>
  </si>
  <si>
    <t>2025-01-22</t>
  </si>
  <si>
    <t>C1400</t>
  </si>
  <si>
    <t>Arjun Bose Solutions</t>
  </si>
  <si>
    <t>S5416</t>
  </si>
  <si>
    <t>C1401</t>
  </si>
  <si>
    <t>Naveen Gupta Solutions</t>
  </si>
  <si>
    <t>2024-03-15</t>
  </si>
  <si>
    <t>S5417</t>
  </si>
  <si>
    <t>2024-12-15</t>
  </si>
  <si>
    <t>C1402</t>
  </si>
  <si>
    <t>Rohan Reddy Industries</t>
  </si>
  <si>
    <t>S5418</t>
  </si>
  <si>
    <t>2026-04-02</t>
  </si>
  <si>
    <t>C1403</t>
  </si>
  <si>
    <t>Sai Khan Labs</t>
  </si>
  <si>
    <t>2024-08-15</t>
  </si>
  <si>
    <t>S5419</t>
  </si>
  <si>
    <t>C1404</t>
  </si>
  <si>
    <t>Rahul Nair Labs</t>
  </si>
  <si>
    <t>2024-03-08</t>
  </si>
  <si>
    <t>S5420</t>
  </si>
  <si>
    <t>C1405</t>
  </si>
  <si>
    <t>2024-04-08</t>
  </si>
  <si>
    <t>S5421</t>
  </si>
  <si>
    <t>2025-04-22</t>
  </si>
  <si>
    <t>C1406</t>
  </si>
  <si>
    <t>Vihaan Joshi Group</t>
  </si>
  <si>
    <t>2024-04-19</t>
  </si>
  <si>
    <t>S5422</t>
  </si>
  <si>
    <t>C1407</t>
  </si>
  <si>
    <t>Meera Gupta Labs</t>
  </si>
  <si>
    <t>2024-10-23</t>
  </si>
  <si>
    <t>S5423</t>
  </si>
  <si>
    <t>C1408</t>
  </si>
  <si>
    <t>Aarav Reddy Labs</t>
  </si>
  <si>
    <t>2023-10-21</t>
  </si>
  <si>
    <t>S5424</t>
  </si>
  <si>
    <t>C1409</t>
  </si>
  <si>
    <t>Saanvi Iyer Industries</t>
  </si>
  <si>
    <t>2023-05-22</t>
  </si>
  <si>
    <t>S5425</t>
  </si>
  <si>
    <t>2024-02-04</t>
  </si>
  <si>
    <t>C1410</t>
  </si>
  <si>
    <t>2024-03-18</t>
  </si>
  <si>
    <t>S5426</t>
  </si>
  <si>
    <t>2024-07-11</t>
  </si>
  <si>
    <t>C1411</t>
  </si>
  <si>
    <t>Saanvi Verma Technologies</t>
  </si>
  <si>
    <t>2025-01-07</t>
  </si>
  <si>
    <t>S5427</t>
  </si>
  <si>
    <t>C1412</t>
  </si>
  <si>
    <t>Farhan Verma Solutions</t>
  </si>
  <si>
    <t>2024-05-15</t>
  </si>
  <si>
    <t>S5428</t>
  </si>
  <si>
    <t>2026-01-02</t>
  </si>
  <si>
    <t>S5429</t>
  </si>
  <si>
    <t>2026-02-17</t>
  </si>
  <si>
    <t>2027-10-17</t>
  </si>
  <si>
    <t>C1413</t>
  </si>
  <si>
    <t>Kiara Joshi Solutions</t>
  </si>
  <si>
    <t>2023-09-11</t>
  </si>
  <si>
    <t>S5430</t>
  </si>
  <si>
    <t>C1414</t>
  </si>
  <si>
    <t>Zoya Joshi Solutions</t>
  </si>
  <si>
    <t>S5431</t>
  </si>
  <si>
    <t>C1415</t>
  </si>
  <si>
    <t>Sneha Rao Group</t>
  </si>
  <si>
    <t>2024-02-12</t>
  </si>
  <si>
    <t>S5432</t>
  </si>
  <si>
    <t>C1416</t>
  </si>
  <si>
    <t>Sneha Sharma Systems</t>
  </si>
  <si>
    <t>2023-01-04</t>
  </si>
  <si>
    <t>S5433</t>
  </si>
  <si>
    <t>C1417</t>
  </si>
  <si>
    <t>Naveen Patel Technologies</t>
  </si>
  <si>
    <t>2023-04-07</t>
  </si>
  <si>
    <t>S5434</t>
  </si>
  <si>
    <t>C1418</t>
  </si>
  <si>
    <t>2023-12-17</t>
  </si>
  <si>
    <t>S5435</t>
  </si>
  <si>
    <t>C1419</t>
  </si>
  <si>
    <t>Diya Nair Industries</t>
  </si>
  <si>
    <t>S5436</t>
  </si>
  <si>
    <t>C1420</t>
  </si>
  <si>
    <t>Arun Gupta Technologies</t>
  </si>
  <si>
    <t>2023-03-07</t>
  </si>
  <si>
    <t>S5437</t>
  </si>
  <si>
    <t>KPI</t>
  </si>
  <si>
    <t>VALUE</t>
  </si>
  <si>
    <t>TOTAL MRR</t>
  </si>
  <si>
    <t>CHRUN RATE</t>
  </si>
  <si>
    <t>AVG REVENUE PER ACCOUNT</t>
  </si>
  <si>
    <t>AVG LOGINS</t>
  </si>
  <si>
    <t>Row Labels</t>
  </si>
  <si>
    <t>Grand Total</t>
  </si>
  <si>
    <t>Sum of MRR</t>
  </si>
  <si>
    <t>Count of CustomerID</t>
  </si>
  <si>
    <t>SaaS KPI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</si>
</sst>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/>
    <xf numFmtId="0" fontId="2" fillId="0" borderId="4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9" fontId="2" fillId="0" borderId="5" xfId="1" applyFont="1" applyBorder="1"/>
    <xf numFmtId="2" fontId="2" fillId="0" borderId="5" xfId="0" applyNumberFormat="1" applyFont="1" applyBorder="1"/>
    <xf numFmtId="2" fontId="2" fillId="0" borderId="6" xfId="0" applyNumberFormat="1" applyFont="1" applyBorder="1"/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[Final_Data.xlsx]PIVOT_SUMMARY!PivotTable1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BT PLAN </a:t>
            </a:r>
            <a:endParaRPr lang="en-US"/>
          </a:p>
        </c:rich>
      </c:tx>
      <c:layout>
        <c:manualLayout>
          <c:xMode val="edge"/>
          <c:yMode val="edge"/>
          <c:x val="0.42743044619422565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PIVOT_SUMMARY!$B$4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PIVOT_SUMMARY!$A$5:$A$9</c:f>
              <c:strCache>
                <c:ptCount val="4"/>
                <c:pt idx="0">
                  <c:v>Business</c:v>
                </c:pt>
                <c:pt idx="1">
                  <c:v>Enterprise</c:v>
                </c:pt>
                <c:pt idx="2">
                  <c:v>Growth</c:v>
                </c:pt>
                <c:pt idx="3">
                  <c:v>Starter</c:v>
                </c:pt>
              </c:strCache>
            </c:strRef>
          </c:cat>
          <c:val>
            <c:numRef>
              <c:f>PIVOT_SUMMARY!$B$5:$B$9</c:f>
              <c:numCache>
                <c:formatCode>General</c:formatCode>
                <c:ptCount val="4"/>
                <c:pt idx="0">
                  <c:v>61132.6</c:v>
                </c:pt>
                <c:pt idx="1">
                  <c:v>149229.87999999998</c:v>
                </c:pt>
                <c:pt idx="2">
                  <c:v>42920.319999999978</c:v>
                </c:pt>
                <c:pt idx="3">
                  <c:v>10082.760000000013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D-4DF1-B215-420C55DBA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22383823"/>
        <c:axId val="573340175"/>
      </c:barChart>
      <c:catAx>
        <c:axId val="72238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40175"/>
        <c:crosses val="autoZero"/>
        <c:auto val="1"/>
        <c:lblAlgn val="ctr"/>
        <c:lblOffset val="100"/>
        <c:noMultiLvlLbl val="0"/>
      </c:catAx>
      <c:valAx>
        <c:axId val="57334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8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[Final_Data.xlsx]PIVOT_SUMMARY!PivotTable3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COUNTRY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PIVOT_SUMMARY!$K$4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E5-40FA-AAA6-DD59049DB5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E5-40FA-AAA6-DD59049DB5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E5-40FA-AAA6-DD59049DB52D}"/>
              </c:ext>
            </c:extLst>
          </c:dPt>
          <c:cat>
            <c:strRef>
              <c:f>PIVOT_SUMMARY!$J$5:$J$10</c:f>
              <c:strCache>
                <c:ptCount val="5"/>
                <c:pt idx="0">
                  <c:v>India</c:v>
                </c:pt>
                <c:pt idx="1">
                  <c:v>Singapore</c:v>
                </c:pt>
                <c:pt idx="2">
                  <c:v>Uae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PIVOT_SUMMARY!$K$5:$K$10</c:f>
              <c:numCache>
                <c:formatCode>General</c:formatCode>
                <c:ptCount val="5"/>
                <c:pt idx="0">
                  <c:v>137854.23999999993</c:v>
                </c:pt>
                <c:pt idx="1">
                  <c:v>16892.680000000004</c:v>
                </c:pt>
                <c:pt idx="2">
                  <c:v>34250.519999999997</c:v>
                </c:pt>
                <c:pt idx="3">
                  <c:v>38263.919999999998</c:v>
                </c:pt>
                <c:pt idx="4">
                  <c:v>36104.199999999975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E5-40FA-AAA6-DD59049DB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[Final_Data.xlsx]PIVOT_SUMMARY!PivotTable3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COUNTRY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PIVOT_SUMMARY!$J$5:$J$10</c:f>
              <c:strCache>
                <c:ptCount val="5"/>
                <c:pt idx="0">
                  <c:v>India</c:v>
                </c:pt>
                <c:pt idx="1">
                  <c:v>Singapore</c:v>
                </c:pt>
                <c:pt idx="2">
                  <c:v>Uae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PIVOT_SUMMARY!$K$5:$K$10</c:f>
              <c:numCache>
                <c:formatCode>General</c:formatCode>
                <c:ptCount val="5"/>
                <c:pt idx="0">
                  <c:v>137854.23999999993</c:v>
                </c:pt>
                <c:pt idx="1">
                  <c:v>16892.680000000004</c:v>
                </c:pt>
                <c:pt idx="2">
                  <c:v>34250.519999999997</c:v>
                </c:pt>
                <c:pt idx="3">
                  <c:v>38263.919999999998</c:v>
                </c:pt>
                <c:pt idx="4">
                  <c:v>36104.199999999975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F-4529-979F-EC54DBEE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637935"/>
        <c:axId val="573372335"/>
      </c:barChart>
      <c:catAx>
        <c:axId val="58563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72335"/>
        <c:crosses val="autoZero"/>
        <c:auto val="1"/>
        <c:lblAlgn val="ctr"/>
        <c:lblOffset val="100"/>
        <c:noMultiLvlLbl val="0"/>
      </c:catAx>
      <c:valAx>
        <c:axId val="57337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3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167640</xdr:rowOff>
    </xdr:from>
    <xdr:to>
      <xdr:col>3</xdr:col>
      <xdr:colOff>1882140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A7B42-F977-4B4C-963E-73893F65A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274320</xdr:colOff>
      <xdr:row>5</xdr:row>
      <xdr:rowOff>160020</xdr:rowOff>
    </xdr:from>
    <xdr:to>
      <xdr:col>10</xdr:col>
      <xdr:colOff>236220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29C600-3043-49A6-BCC6-827CC45A5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449580</xdr:colOff>
      <xdr:row>5</xdr:row>
      <xdr:rowOff>167640</xdr:rowOff>
    </xdr:from>
    <xdr:to>
      <xdr:col>17</xdr:col>
      <xdr:colOff>83820</xdr:colOff>
      <xdr:row>20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C240ED-F1D8-4747-A22E-17BEAD98C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anisingaravelan S" refreshedDate="46297.705086574075" createdVersion="8" refreshedVersion="8" minRefreshableVersion="3" recordCount="437" xr:uid="{E4D3BE37-740E-4FC6-A511-CD7398A42DCD}">
  <cacheSource type="worksheet">
    <worksheetSource ref="A1:T438" sheet="Sheet1"/>
  </cacheSource>
  <cacheFields count="20">
    <cacheField name="CustomerID" numFmtId="0">
      <sharedItems/>
    </cacheField>
    <cacheField name="CompanyName" numFmtId="0">
      <sharedItems/>
    </cacheField>
    <cacheField name="Industry" numFmtId="0">
      <sharedItems count="8">
        <s v="Unknown"/>
        <s v="Finance"/>
        <s v="Retail"/>
        <s v="Logistics"/>
        <s v="Manufacturing"/>
        <s v="Education"/>
        <s v="Healthcare"/>
        <s v="Media"/>
      </sharedItems>
    </cacheField>
    <cacheField name="Country" numFmtId="0">
      <sharedItems count="5">
        <s v="India"/>
        <s v="Uk"/>
        <s v="Uae"/>
        <s v="Usa"/>
        <s v="Singapore"/>
      </sharedItems>
    </cacheField>
    <cacheField name="City" numFmtId="0">
      <sharedItems/>
    </cacheField>
    <cacheField name="EmployeeCount" numFmtId="0">
      <sharedItems containsSemiMixedTypes="0" containsString="0" containsNumber="1" containsInteger="1" minValue="12" maxValue="3000"/>
    </cacheField>
    <cacheField name="SignupDate" numFmtId="0">
      <sharedItems/>
    </cacheField>
    <cacheField name="AcquisitionChannel" numFmtId="0">
      <sharedItems/>
    </cacheField>
    <cacheField name="SubscriptionID" numFmtId="0">
      <sharedItems/>
    </cacheField>
    <cacheField name="PlanName" numFmtId="0">
      <sharedItems count="4">
        <s v="Growth"/>
        <s v="Starter"/>
        <s v="Business"/>
        <s v="Enterprise"/>
      </sharedItems>
    </cacheField>
    <cacheField name="BillingTerm" numFmtId="0">
      <sharedItems/>
    </cacheField>
    <cacheField name="Seats" numFmtId="0">
      <sharedItems containsSemiMixedTypes="0" containsString="0" containsNumber="1" containsInteger="1" minValue="1" maxValue="16"/>
    </cacheField>
    <cacheField name="MRR" numFmtId="0">
      <sharedItems containsSemiMixedTypes="0" containsString="0" containsNumber="1" minValue="52.92" maxValue="3177.88"/>
    </cacheField>
    <cacheField name="StartDate" numFmtId="0">
      <sharedItems/>
    </cacheField>
    <cacheField name="EndDate" numFmtId="0">
      <sharedItems containsBlank="1"/>
    </cacheField>
    <cacheField name="Status" numFmtId="0">
      <sharedItems count="3">
        <s v="Churned"/>
        <s v="Active"/>
        <s v="Paused"/>
      </sharedItems>
    </cacheField>
    <cacheField name="Logins" numFmtId="0">
      <sharedItems containsString="0" containsBlank="1" containsNumber="1" minValue="0" maxValue="24.5"/>
    </cacheField>
    <cacheField name="ActiveUsers" numFmtId="0">
      <sharedItems containsString="0" containsBlank="1" containsNumber="1" minValue="0" maxValue="16"/>
    </cacheField>
    <cacheField name="TicketID" numFmtId="0">
      <sharedItems containsString="0" containsBlank="1" containsNumber="1" containsInteger="1" minValue="1" maxValue="9"/>
    </cacheField>
    <cacheField name="SatisfactionScore" numFmtId="0">
      <sharedItems containsString="0" containsBlank="1" containsNumber="1" minValue="1" maxValue="9.33333333333333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">
  <r>
    <s v="C1001"/>
    <s v="Ishaan Joshi Systems"/>
    <x v="0"/>
    <x v="0"/>
    <s v="Hyderabad"/>
    <n v="80"/>
    <s v="2023-07-02"/>
    <s v="Paid Ads"/>
    <s v="S5001"/>
    <x v="0"/>
    <s v="Monthly"/>
    <n v="6"/>
    <n v="278.60000000000002"/>
    <s v="2023-07-02"/>
    <s v="2024-10-21"/>
    <x v="0"/>
    <n v="9.25"/>
    <n v="4.5"/>
    <n v="4"/>
    <n v="6.5"/>
  </r>
  <r>
    <s v="C1002"/>
    <s v="Tara Sharma Technologies"/>
    <x v="1"/>
    <x v="1"/>
    <s v="London"/>
    <n v="12"/>
    <s v="2024-02-21"/>
    <s v="Referral"/>
    <s v="S5002"/>
    <x v="0"/>
    <s v="Monthly"/>
    <n v="4"/>
    <n v="246.76"/>
    <s v="2024-02-21"/>
    <m/>
    <x v="1"/>
    <n v="19.72727272727273"/>
    <n v="12.18181818181818"/>
    <n v="4"/>
    <n v="7"/>
  </r>
  <r>
    <s v="C1003"/>
    <s v="Zoya Das Systems"/>
    <x v="1"/>
    <x v="2"/>
    <s v="Dubai"/>
    <n v="1200"/>
    <s v="2023-09-12"/>
    <s v="Organic Search"/>
    <s v="S5003"/>
    <x v="0"/>
    <s v="Annual"/>
    <n v="6"/>
    <n v="278.60000000000002"/>
    <s v="2023-09-12"/>
    <m/>
    <x v="1"/>
    <n v="11.6875"/>
    <n v="7.25"/>
    <n v="3"/>
    <n v="3"/>
  </r>
  <r>
    <s v="C1004"/>
    <s v="Diya Joshi Labs"/>
    <x v="2"/>
    <x v="1"/>
    <s v="Manchester"/>
    <n v="400"/>
    <s v="2024-03-01"/>
    <s v="Partner"/>
    <s v="S5004"/>
    <x v="1"/>
    <s v="Annual"/>
    <n v="9"/>
    <n v="80.36"/>
    <s v="2024-03-01"/>
    <m/>
    <x v="1"/>
    <n v="8.1999999999999993"/>
    <n v="4.2"/>
    <m/>
    <m/>
  </r>
  <r>
    <s v="C1005"/>
    <s v="Tara Joshi Systems"/>
    <x v="3"/>
    <x v="1"/>
    <s v="London"/>
    <n v="1200"/>
    <s v="2023-12-29"/>
    <s v="Outbound"/>
    <s v="S5005"/>
    <x v="2"/>
    <s v="Monthly"/>
    <n v="4"/>
    <n v="618.76"/>
    <s v="2023-12-29"/>
    <s v="2025-08-23"/>
    <x v="0"/>
    <n v="10.23076923076923"/>
    <n v="4.6923076923076934"/>
    <n v="3"/>
    <n v="6"/>
  </r>
  <r>
    <s v="C1006"/>
    <s v="Sanjay Reddy Labs"/>
    <x v="4"/>
    <x v="0"/>
    <s v="Hyderabad"/>
    <n v="35"/>
    <s v="2024-09-15"/>
    <s v="Organic Search"/>
    <s v="S5006"/>
    <x v="3"/>
    <s v="Annual"/>
    <n v="2"/>
    <n v="1618.92"/>
    <s v="2024-09-15"/>
    <m/>
    <x v="1"/>
    <n v="21.5"/>
    <n v="12.75"/>
    <n v="3"/>
    <n v="6"/>
  </r>
  <r>
    <s v="C1007"/>
    <s v="Sai Das Technologies"/>
    <x v="3"/>
    <x v="0"/>
    <s v="Delhi"/>
    <n v="12"/>
    <s v="2023-03-26"/>
    <s v="Referral"/>
    <s v="S5007"/>
    <x v="2"/>
    <s v="Annual"/>
    <n v="5"/>
    <n v="658.68"/>
    <s v="2023-03-26"/>
    <m/>
    <x v="1"/>
    <n v="5.3181818181818183"/>
    <n v="2.9090909090909092"/>
    <n v="2"/>
    <n v="8.5"/>
  </r>
  <r>
    <s v="C1008"/>
    <s v="Nikita Gupta Solutions"/>
    <x v="3"/>
    <x v="2"/>
    <s v="Abu Dhabi"/>
    <n v="400"/>
    <s v="2024-02-21"/>
    <s v="Paid Ads"/>
    <s v="S5008"/>
    <x v="2"/>
    <s v="Annual"/>
    <n v="9"/>
    <n v="818.36"/>
    <s v="2024-02-21"/>
    <m/>
    <x v="1"/>
    <n v="14.09090909090909"/>
    <n v="9.454545454545455"/>
    <n v="2"/>
    <n v="7.5"/>
  </r>
  <r>
    <s v="C1009"/>
    <s v="Rohan Patel Technologies"/>
    <x v="5"/>
    <x v="2"/>
    <s v="Abu Dhabi"/>
    <n v="3000"/>
    <s v="2023-07-27"/>
    <s v="Outbound"/>
    <s v="S5009"/>
    <x v="3"/>
    <s v="Monthly"/>
    <n v="6"/>
    <n v="2098.6"/>
    <s v="2023-07-27"/>
    <m/>
    <x v="1"/>
    <n v="12.22222222222222"/>
    <n v="6.4444444444444446"/>
    <n v="4"/>
    <n v="5.75"/>
  </r>
  <r>
    <s v="C1010"/>
    <s v="Tara Iyer Labs"/>
    <x v="4"/>
    <x v="0"/>
    <s v="Pune"/>
    <n v="12"/>
    <s v="2023-11-15"/>
    <s v="Partner"/>
    <s v="S5010"/>
    <x v="0"/>
    <s v="Monthly"/>
    <n v="6"/>
    <n v="278.60000000000002"/>
    <s v="2023-11-15"/>
    <s v="2024-04-10"/>
    <x v="0"/>
    <n v="13.5"/>
    <n v="5.5"/>
    <n v="6"/>
    <n v="5.333333333333333"/>
  </r>
  <r>
    <s v="C1011"/>
    <s v="Rohan Iyer Solutions"/>
    <x v="2"/>
    <x v="2"/>
    <s v="Dubai"/>
    <n v="400"/>
    <s v="2023-05-11"/>
    <s v="Organic Search"/>
    <s v="S5011"/>
    <x v="0"/>
    <s v="Annual"/>
    <n v="5"/>
    <n v="262.68"/>
    <s v="2023-05-11"/>
    <m/>
    <x v="1"/>
    <n v="4.8"/>
    <n v="2.4"/>
    <n v="2"/>
    <n v="4.5"/>
  </r>
  <r>
    <s v="C1012"/>
    <s v="Meera Patel Labs"/>
    <x v="6"/>
    <x v="2"/>
    <s v="Dubai"/>
    <n v="35"/>
    <s v="2023-02-15"/>
    <s v="Events"/>
    <s v="S5012"/>
    <x v="3"/>
    <s v="Annual"/>
    <n v="5"/>
    <n v="1978.68"/>
    <s v="2023-02-15"/>
    <s v="2023-11-14"/>
    <x v="0"/>
    <n v="1.4"/>
    <n v="0.7"/>
    <n v="1"/>
    <n v="5"/>
  </r>
  <r>
    <s v="C1013"/>
    <s v="Farhan Das Industries"/>
    <x v="2"/>
    <x v="1"/>
    <s v="London"/>
    <n v="12"/>
    <s v="2024-12-10"/>
    <s v="Organic Search"/>
    <s v="S5013"/>
    <x v="3"/>
    <s v="Annual"/>
    <n v="4"/>
    <n v="1858.76"/>
    <s v="2024-12-10"/>
    <s v="2026-02-28"/>
    <x v="0"/>
    <n v="0"/>
    <n v="0"/>
    <n v="1"/>
    <n v="6"/>
  </r>
  <r>
    <s v="C1013"/>
    <s v="Farhan Das Industries"/>
    <x v="2"/>
    <x v="1"/>
    <s v="London"/>
    <n v="12"/>
    <s v="2024-12-10"/>
    <s v="Organic Search"/>
    <s v="S5014"/>
    <x v="1"/>
    <s v="Annual"/>
    <n v="7"/>
    <n v="72.52"/>
    <s v="2026-05-03"/>
    <m/>
    <x v="1"/>
    <n v="0"/>
    <n v="0"/>
    <n v="1"/>
    <n v="6"/>
  </r>
  <r>
    <s v="C1014"/>
    <s v="Rahul Patel Industries"/>
    <x v="7"/>
    <x v="0"/>
    <s v="Chennai"/>
    <n v="1200"/>
    <s v="2024-07-10"/>
    <s v="Partner"/>
    <s v="S5015"/>
    <x v="1"/>
    <s v="Monthly"/>
    <n v="6"/>
    <n v="68.599999999999994"/>
    <s v="2024-07-10"/>
    <m/>
    <x v="1"/>
    <n v="6.166666666666667"/>
    <n v="3.666666666666667"/>
    <n v="2"/>
    <n v="6"/>
  </r>
  <r>
    <s v="C1015"/>
    <s v="Sanjay Gupta Industries"/>
    <x v="1"/>
    <x v="0"/>
    <s v="Mumbai"/>
    <n v="35"/>
    <s v="2024-01-15"/>
    <s v="Partner"/>
    <s v="S5016"/>
    <x v="0"/>
    <s v="Monthly"/>
    <n v="4"/>
    <n v="246.76"/>
    <s v="2024-01-15"/>
    <m/>
    <x v="1"/>
    <n v="5.083333333333333"/>
    <n v="2.833333333333333"/>
    <n v="3"/>
    <n v="5"/>
  </r>
  <r>
    <s v="C1016"/>
    <s v="Diya Singh Industries"/>
    <x v="7"/>
    <x v="1"/>
    <s v="Manchester"/>
    <n v="35"/>
    <s v="2024-01-16"/>
    <s v="Paid Ads"/>
    <s v="S5017"/>
    <x v="2"/>
    <s v="Monthly"/>
    <n v="13"/>
    <n v="978.04"/>
    <s v="2024-01-16"/>
    <s v="2025-06-24"/>
    <x v="0"/>
    <n v="3.166666666666667"/>
    <n v="1.25"/>
    <n v="4"/>
    <n v="6.5"/>
  </r>
  <r>
    <s v="C1017"/>
    <s v="Rahul Reddy Solutions"/>
    <x v="0"/>
    <x v="3"/>
    <s v="Seattle"/>
    <n v="12"/>
    <s v="2024-06-05"/>
    <s v="Paid Ads"/>
    <s v="S5018"/>
    <x v="1"/>
    <s v="Annual"/>
    <n v="4"/>
    <n v="60.76"/>
    <s v="2024-06-05"/>
    <m/>
    <x v="1"/>
    <n v="3.4285714285714279"/>
    <n v="1.857142857142857"/>
    <n v="3"/>
    <n v="4"/>
  </r>
  <r>
    <s v="C1018"/>
    <s v="Myra Khan Systems"/>
    <x v="1"/>
    <x v="3"/>
    <s v="Boston"/>
    <n v="150"/>
    <s v="2024-03-06"/>
    <s v="Referral"/>
    <s v="S5019"/>
    <x v="3"/>
    <s v="Monthly"/>
    <n v="6"/>
    <n v="2098.6"/>
    <s v="2024-03-06"/>
    <m/>
    <x v="1"/>
    <n v="8.6999999999999993"/>
    <n v="5.3"/>
    <n v="6"/>
    <n v="4.333333333333333"/>
  </r>
  <r>
    <s v="C1019"/>
    <s v="Deepak Nair Labs"/>
    <x v="1"/>
    <x v="4"/>
    <s v="Singapore"/>
    <n v="150"/>
    <s v="2024-04-30"/>
    <s v="Outbound"/>
    <s v="S5020"/>
    <x v="0"/>
    <s v="Monthly"/>
    <n v="9"/>
    <n v="326.36"/>
    <s v="2024-04-30"/>
    <m/>
    <x v="1"/>
    <n v="16.555555555555561"/>
    <n v="8.1111111111111107"/>
    <n v="2"/>
    <n v="5.5"/>
  </r>
  <r>
    <s v="C1020"/>
    <s v="Saanvi Menon Group"/>
    <x v="2"/>
    <x v="0"/>
    <s v="Chennai"/>
    <n v="400"/>
    <s v="2023-12-04"/>
    <s v="Referral"/>
    <s v="S5021"/>
    <x v="1"/>
    <s v="Monthly"/>
    <n v="6"/>
    <n v="68.599999999999994"/>
    <s v="2023-12-04"/>
    <s v="2024-06-27"/>
    <x v="0"/>
    <n v="7.8571428571428568"/>
    <n v="4.7142857142857144"/>
    <n v="5"/>
    <n v="5.8"/>
  </r>
  <r>
    <s v="C1021"/>
    <s v="Vivaan Singh Systems"/>
    <x v="1"/>
    <x v="3"/>
    <s v="Seattle"/>
    <n v="35"/>
    <s v="2023-05-14"/>
    <s v="Organic Search"/>
    <s v="S5022"/>
    <x v="1"/>
    <s v="Annual"/>
    <n v="8"/>
    <n v="76.44"/>
    <s v="2023-05-14"/>
    <m/>
    <x v="1"/>
    <n v="13.2"/>
    <n v="7.4"/>
    <n v="4"/>
    <n v="4.75"/>
  </r>
  <r>
    <s v="C1022"/>
    <s v="Rahul Singh Technologies"/>
    <x v="2"/>
    <x v="3"/>
    <s v="Boston"/>
    <n v="400"/>
    <s v="2023-09-26"/>
    <s v="Organic Search"/>
    <s v="S5023"/>
    <x v="1"/>
    <s v="Monthly"/>
    <n v="5"/>
    <n v="64.680000000000007"/>
    <s v="2023-09-26"/>
    <m/>
    <x v="1"/>
    <n v="2.75"/>
    <n v="1.0625"/>
    <n v="8"/>
    <n v="6.125"/>
  </r>
  <r>
    <s v="C1023"/>
    <s v="Meera Menon Industries"/>
    <x v="7"/>
    <x v="3"/>
    <s v="Boston"/>
    <n v="35"/>
    <s v="2024-08-02"/>
    <s v="Referral"/>
    <s v="S5024"/>
    <x v="2"/>
    <s v="Monthly"/>
    <n v="8"/>
    <n v="778.44"/>
    <s v="2024-08-02"/>
    <m/>
    <x v="1"/>
    <n v="2.8"/>
    <n v="0.8"/>
    <n v="5"/>
    <n v="5.8"/>
  </r>
  <r>
    <s v="C1024"/>
    <s v="Vivaan Verma Solutions"/>
    <x v="2"/>
    <x v="0"/>
    <s v="Bengaluru"/>
    <n v="12"/>
    <s v="2024-10-17"/>
    <s v="Paid Ads"/>
    <s v="S5025"/>
    <x v="0"/>
    <s v="Monthly"/>
    <n v="4"/>
    <n v="246.76"/>
    <s v="2024-10-17"/>
    <m/>
    <x v="1"/>
    <n v="15.66666666666667"/>
    <n v="7.333333333333333"/>
    <n v="2"/>
    <n v="5.5"/>
  </r>
  <r>
    <s v="C1025"/>
    <s v="Diya Singh Labs"/>
    <x v="4"/>
    <x v="3"/>
    <s v="Seattle"/>
    <n v="1200"/>
    <s v="2023-04-22"/>
    <s v="Outbound"/>
    <s v="S5026"/>
    <x v="0"/>
    <s v="Monthly"/>
    <n v="5"/>
    <n v="262.68"/>
    <s v="2023-04-22"/>
    <m/>
    <x v="1"/>
    <n v="3.333333333333333"/>
    <n v="1.6190476190476191"/>
    <n v="4"/>
    <n v="4.5"/>
  </r>
  <r>
    <s v="C1026"/>
    <s v="Vivaan Singh Solutions"/>
    <x v="4"/>
    <x v="0"/>
    <s v="Mumbai"/>
    <n v="12"/>
    <s v="2024-05-04"/>
    <s v="Organic Search"/>
    <s v="S5027"/>
    <x v="2"/>
    <s v="Annual"/>
    <n v="6"/>
    <n v="698.6"/>
    <s v="2024-05-04"/>
    <s v="2025-12-26"/>
    <x v="0"/>
    <n v="7.75"/>
    <n v="4.375"/>
    <n v="1"/>
    <n v="4"/>
  </r>
  <r>
    <s v="C1027"/>
    <s v="Vihaan Bose Group"/>
    <x v="4"/>
    <x v="0"/>
    <s v="Bengaluru"/>
    <n v="3000"/>
    <s v="2023-05-06"/>
    <s v="Paid Ads"/>
    <s v="S5028"/>
    <x v="2"/>
    <s v="Annual"/>
    <n v="8"/>
    <n v="778.44"/>
    <s v="2023-05-06"/>
    <s v="2023-10-26"/>
    <x v="0"/>
    <n v="3"/>
    <n v="1.666666666666667"/>
    <n v="2"/>
    <n v="7"/>
  </r>
  <r>
    <s v="C1028"/>
    <s v="Ananya Gupta Solutions"/>
    <x v="4"/>
    <x v="0"/>
    <s v="Chennai"/>
    <n v="3000"/>
    <s v="2023-06-06"/>
    <s v="Partner"/>
    <s v="S5029"/>
    <x v="0"/>
    <s v="Annual"/>
    <n v="7"/>
    <n v="294.52"/>
    <s v="2023-06-06"/>
    <s v="2024-12-18"/>
    <x v="0"/>
    <n v="10.842105263157899"/>
    <n v="6.4736842105263159"/>
    <n v="4"/>
    <n v="5"/>
  </r>
  <r>
    <s v="C1029"/>
    <s v="Sai Khan Technologies"/>
    <x v="4"/>
    <x v="0"/>
    <s v="Pune"/>
    <n v="3000"/>
    <s v="2024-01-20"/>
    <s v="Referral"/>
    <s v="S5030"/>
    <x v="2"/>
    <s v="Monthly"/>
    <n v="6"/>
    <n v="698.6"/>
    <s v="2024-01-20"/>
    <m/>
    <x v="1"/>
    <n v="6.75"/>
    <n v="2.916666666666667"/>
    <n v="6"/>
    <n v="6.333333333333333"/>
  </r>
  <r>
    <s v="C1030"/>
    <s v="Rohan Bose Solutions"/>
    <x v="1"/>
    <x v="0"/>
    <s v="Delhi"/>
    <n v="1200"/>
    <s v="2023-04-24"/>
    <s v="Referral"/>
    <s v="S5031"/>
    <x v="3"/>
    <s v="Annual"/>
    <n v="9"/>
    <n v="2458.36"/>
    <s v="2023-04-24"/>
    <m/>
    <x v="1"/>
    <n v="18.857142857142861"/>
    <n v="11"/>
    <n v="2"/>
    <n v="6"/>
  </r>
  <r>
    <s v="C1031"/>
    <s v="Isha Khan Technologies"/>
    <x v="3"/>
    <x v="0"/>
    <s v="Bengaluru"/>
    <n v="400"/>
    <s v="2025-01-26"/>
    <s v="Organic Search"/>
    <s v="S5032"/>
    <x v="0"/>
    <s v="Monthly"/>
    <n v="7"/>
    <n v="294.52"/>
    <s v="2025-01-26"/>
    <m/>
    <x v="1"/>
    <m/>
    <m/>
    <n v="3"/>
    <n v="6.666666666666667"/>
  </r>
  <r>
    <s v="C1032"/>
    <s v="Naveen Menon Industries"/>
    <x v="2"/>
    <x v="0"/>
    <s v="Pune"/>
    <n v="1200"/>
    <s v="2025-01-09"/>
    <s v="Events"/>
    <s v="S5033"/>
    <x v="1"/>
    <s v="Monthly"/>
    <n v="4"/>
    <n v="60.76"/>
    <s v="2025-01-09"/>
    <m/>
    <x v="1"/>
    <m/>
    <m/>
    <n v="5"/>
    <n v="4"/>
  </r>
  <r>
    <s v="C1033"/>
    <s v="Arun Sharma Industries"/>
    <x v="3"/>
    <x v="0"/>
    <s v="Delhi"/>
    <n v="35"/>
    <s v="2023-11-30"/>
    <s v="Paid Ads"/>
    <s v="S5034"/>
    <x v="0"/>
    <s v="Monthly"/>
    <n v="10"/>
    <n v="342.28"/>
    <s v="2023-11-30"/>
    <m/>
    <x v="1"/>
    <n v="10.428571428571431"/>
    <n v="6.6428571428571432"/>
    <n v="5"/>
    <n v="5.4"/>
  </r>
  <r>
    <s v="C1034"/>
    <s v="Sneha Rao Industries"/>
    <x v="6"/>
    <x v="0"/>
    <s v="Bengaluru"/>
    <n v="12"/>
    <s v="2025-01-26"/>
    <s v="Events"/>
    <s v="S5035"/>
    <x v="3"/>
    <s v="Monthly"/>
    <n v="10"/>
    <n v="2578.2800000000002"/>
    <s v="2025-01-26"/>
    <m/>
    <x v="1"/>
    <m/>
    <m/>
    <n v="3"/>
    <n v="4.666666666666667"/>
  </r>
  <r>
    <s v="C1035"/>
    <s v="Arjun Gupta Industries"/>
    <x v="0"/>
    <x v="4"/>
    <s v="Singapore"/>
    <n v="80"/>
    <s v="2023-06-21"/>
    <s v="Outbound"/>
    <s v="S5036"/>
    <x v="3"/>
    <s v="Monthly"/>
    <n v="5"/>
    <n v="1978.68"/>
    <s v="2023-06-21"/>
    <m/>
    <x v="1"/>
    <n v="9"/>
    <n v="5.1052631578947372"/>
    <n v="7"/>
    <n v="5.5714285714285712"/>
  </r>
  <r>
    <s v="C1036"/>
    <s v="Krishna Sharma Solutions"/>
    <x v="2"/>
    <x v="0"/>
    <s v="Mumbai"/>
    <n v="1200"/>
    <s v="2023-08-24"/>
    <s v="Organic Search"/>
    <s v="S5037"/>
    <x v="1"/>
    <s v="Annual"/>
    <n v="9"/>
    <n v="80.36"/>
    <s v="2023-08-24"/>
    <m/>
    <x v="1"/>
    <n v="9.882352941176471"/>
    <n v="6"/>
    <n v="6"/>
    <n v="5.833333333333333"/>
  </r>
  <r>
    <s v="C1037"/>
    <s v="Diya Das Industries"/>
    <x v="5"/>
    <x v="2"/>
    <s v="Abu Dhabi"/>
    <n v="150"/>
    <s v="2024-02-26"/>
    <s v="Partner"/>
    <s v="S5038"/>
    <x v="3"/>
    <s v="Monthly"/>
    <n v="5"/>
    <n v="1978.68"/>
    <s v="2024-02-26"/>
    <s v="2025-09-14"/>
    <x v="0"/>
    <n v="3.8181818181818179"/>
    <n v="2.0909090909090908"/>
    <n v="3"/>
    <n v="5.666666666666667"/>
  </r>
  <r>
    <s v="C1038"/>
    <s v="Sneha Menon Industries"/>
    <x v="3"/>
    <x v="0"/>
    <s v="Hyderabad"/>
    <n v="35"/>
    <s v="2023-05-06"/>
    <s v="Outbound"/>
    <s v="S5039"/>
    <x v="0"/>
    <s v="Monthly"/>
    <n v="4"/>
    <n v="246.76"/>
    <s v="2023-05-06"/>
    <s v="2024-06-14"/>
    <x v="0"/>
    <n v="5.0714285714285712"/>
    <n v="2.714285714285714"/>
    <n v="4"/>
    <n v="4.25"/>
  </r>
  <r>
    <s v="C1039"/>
    <s v="Arjun Iyer Systems"/>
    <x v="3"/>
    <x v="0"/>
    <s v="Chennai"/>
    <n v="12"/>
    <s v="2023-03-23"/>
    <s v="Referral"/>
    <s v="S5040"/>
    <x v="1"/>
    <s v="Annual"/>
    <n v="8"/>
    <n v="76.44"/>
    <s v="2023-03-23"/>
    <m/>
    <x v="1"/>
    <n v="3.7727272727272729"/>
    <n v="1.9090909090909089"/>
    <n v="2"/>
    <n v="6.5"/>
  </r>
  <r>
    <s v="C1040"/>
    <s v="Reyansh Nair Labs"/>
    <x v="2"/>
    <x v="1"/>
    <s v="London"/>
    <n v="12"/>
    <s v="2024-02-13"/>
    <s v="Paid Ads"/>
    <s v="S5041"/>
    <x v="0"/>
    <s v="Monthly"/>
    <n v="9"/>
    <n v="326.36"/>
    <s v="2024-02-13"/>
    <m/>
    <x v="1"/>
    <n v="8.3636363636363633"/>
    <n v="4.5454545454545459"/>
    <n v="4"/>
    <n v="5.75"/>
  </r>
  <r>
    <s v="C1041"/>
    <s v="Sanjay Khan Systems"/>
    <x v="4"/>
    <x v="0"/>
    <s v="Pune"/>
    <n v="12"/>
    <s v="2023-12-30"/>
    <s v="Outbound"/>
    <s v="S5042"/>
    <x v="0"/>
    <s v="Monthly"/>
    <n v="16"/>
    <n v="437.8"/>
    <s v="2023-12-30"/>
    <m/>
    <x v="1"/>
    <n v="8.5384615384615383"/>
    <n v="4.3076923076923066"/>
    <n v="2"/>
    <n v="5.5"/>
  </r>
  <r>
    <s v="C1042"/>
    <s v="Meera Iyer Industries"/>
    <x v="1"/>
    <x v="1"/>
    <s v="London"/>
    <n v="35"/>
    <s v="2023-05-12"/>
    <s v="Paid Ads"/>
    <s v="S5043"/>
    <x v="1"/>
    <s v="Monthly"/>
    <n v="4"/>
    <n v="60.76"/>
    <s v="2023-05-12"/>
    <m/>
    <x v="1"/>
    <n v="15.55"/>
    <n v="9.15"/>
    <n v="3"/>
    <n v="6"/>
  </r>
  <r>
    <s v="C1043"/>
    <s v="Aadhya Khan Systems"/>
    <x v="4"/>
    <x v="3"/>
    <s v="Seattle"/>
    <n v="35"/>
    <s v="2023-07-25"/>
    <s v="Paid Ads"/>
    <s v="S5044"/>
    <x v="2"/>
    <s v="Annual"/>
    <n v="6"/>
    <n v="698.6"/>
    <s v="2023-07-25"/>
    <s v="2025-03-05"/>
    <x v="0"/>
    <n v="9.6111111111111107"/>
    <n v="5.5"/>
    <n v="2"/>
    <n v="4"/>
  </r>
  <r>
    <s v="C1044"/>
    <s v="Krishna Bose Solutions"/>
    <x v="2"/>
    <x v="3"/>
    <s v="Austin"/>
    <n v="400"/>
    <s v="2024-07-08"/>
    <s v="Paid Ads"/>
    <s v="S5045"/>
    <x v="0"/>
    <s v="Annual"/>
    <n v="4"/>
    <n v="246.76"/>
    <s v="2024-07-08"/>
    <s v="2025-01-14"/>
    <x v="0"/>
    <n v="13"/>
    <n v="6.833333333333333"/>
    <n v="3"/>
    <n v="5"/>
  </r>
  <r>
    <s v="C1045"/>
    <s v="Kavya Verma Solutions"/>
    <x v="2"/>
    <x v="3"/>
    <s v="Austin"/>
    <n v="12"/>
    <s v="2024-06-10"/>
    <s v="Paid Ads"/>
    <s v="S5046"/>
    <x v="3"/>
    <s v="Monthly"/>
    <n v="10"/>
    <n v="2578.2800000000002"/>
    <s v="2024-06-10"/>
    <m/>
    <x v="1"/>
    <n v="8.7142857142857135"/>
    <n v="4.2857142857142856"/>
    <n v="5"/>
    <n v="6.4"/>
  </r>
  <r>
    <s v="C1046"/>
    <s v="Tara Patel Industries"/>
    <x v="2"/>
    <x v="0"/>
    <s v="Chennai"/>
    <n v="12"/>
    <s v="2023-09-04"/>
    <s v="Organic Search"/>
    <s v="S5047"/>
    <x v="3"/>
    <s v="Monthly"/>
    <n v="3"/>
    <n v="294.52"/>
    <s v="2023-09-04"/>
    <s v="2025-03-03"/>
    <x v="0"/>
    <n v="2.1875"/>
    <n v="0.625"/>
    <n v="6"/>
    <n v="5.833333333333333"/>
  </r>
  <r>
    <s v="C1047"/>
    <s v="Rohan Das Technologies"/>
    <x v="7"/>
    <x v="0"/>
    <s v="Hyderabad"/>
    <n v="150"/>
    <s v="2024-06-01"/>
    <s v="Paid Ads"/>
    <s v="S5048"/>
    <x v="1"/>
    <s v="Monthly"/>
    <n v="9"/>
    <n v="80.36"/>
    <s v="2024-06-01"/>
    <m/>
    <x v="1"/>
    <n v="20"/>
    <n v="10.28571428571429"/>
    <n v="1"/>
    <n v="5"/>
  </r>
  <r>
    <s v="C1048"/>
    <s v="Aman Singh Labs"/>
    <x v="1"/>
    <x v="0"/>
    <s v="Mumbai"/>
    <n v="80"/>
    <s v="2023-07-25"/>
    <s v="Paid Ads"/>
    <s v="S5049"/>
    <x v="2"/>
    <s v="Monthly"/>
    <n v="5"/>
    <n v="658.68"/>
    <s v="2023-07-25"/>
    <m/>
    <x v="1"/>
    <n v="3.4444444444444451"/>
    <n v="1.6111111111111109"/>
    <n v="3"/>
    <n v="5"/>
  </r>
  <r>
    <s v="C1049"/>
    <s v="Farhan Gupta Labs"/>
    <x v="5"/>
    <x v="3"/>
    <s v="Boston"/>
    <n v="12"/>
    <s v="2024-10-06"/>
    <s v="Organic Search"/>
    <s v="S5050"/>
    <x v="3"/>
    <s v="Annual"/>
    <n v="6"/>
    <n v="2098.6"/>
    <s v="2024-10-06"/>
    <s v="2025-12-18"/>
    <x v="0"/>
    <n v="10.66666666666667"/>
    <n v="6"/>
    <n v="7"/>
    <n v="6.7142857142857144"/>
  </r>
  <r>
    <s v="C1049"/>
    <s v="Farhan Gupta Labs"/>
    <x v="5"/>
    <x v="3"/>
    <s v="Boston"/>
    <n v="12"/>
    <s v="2024-10-06"/>
    <s v="Organic Search"/>
    <s v="S5051"/>
    <x v="3"/>
    <s v="Annual"/>
    <n v="10"/>
    <n v="2578.2800000000002"/>
    <s v="2026-02-02"/>
    <m/>
    <x v="1"/>
    <n v="10.66666666666667"/>
    <n v="6"/>
    <n v="7"/>
    <n v="6.7142857142857144"/>
  </r>
  <r>
    <s v="C1050"/>
    <s v="Arun Khan Solutions"/>
    <x v="2"/>
    <x v="2"/>
    <s v="Abu Dhabi"/>
    <n v="150"/>
    <s v="2023-07-09"/>
    <s v="Organic Search"/>
    <s v="S5052"/>
    <x v="0"/>
    <s v="Monthly"/>
    <n v="9"/>
    <n v="326.36"/>
    <s v="2023-07-09"/>
    <s v="2023-12-13"/>
    <x v="0"/>
    <n v="9.1818181818181817"/>
    <n v="4.6363636363636367"/>
    <n v="3"/>
    <n v="6"/>
  </r>
  <r>
    <s v="C1050"/>
    <s v="Arun Khan Solutions"/>
    <x v="2"/>
    <x v="2"/>
    <s v="Abu Dhabi"/>
    <n v="150"/>
    <s v="2023-07-09"/>
    <s v="Organic Search"/>
    <s v="S5053"/>
    <x v="3"/>
    <s v="Monthly"/>
    <n v="1"/>
    <n v="1499"/>
    <s v="2024-02-25"/>
    <s v="2024-06-21"/>
    <x v="0"/>
    <n v="9.1818181818181817"/>
    <n v="4.6363636363636367"/>
    <n v="3"/>
    <n v="6"/>
  </r>
  <r>
    <s v="C1051"/>
    <s v="Priya Gupta Labs"/>
    <x v="4"/>
    <x v="4"/>
    <s v="Singapore"/>
    <n v="400"/>
    <s v="2024-08-01"/>
    <s v="Partner"/>
    <s v="S5054"/>
    <x v="0"/>
    <s v="Monthly"/>
    <n v="5"/>
    <n v="262.68"/>
    <s v="2024-08-01"/>
    <m/>
    <x v="1"/>
    <n v="18.399999999999999"/>
    <n v="10.4"/>
    <n v="5"/>
    <n v="7.2"/>
  </r>
  <r>
    <s v="C1052"/>
    <s v="Aadhya Reddy Labs"/>
    <x v="1"/>
    <x v="3"/>
    <s v="Austin"/>
    <n v="150"/>
    <s v="2024-05-10"/>
    <s v="Organic Search"/>
    <s v="S5055"/>
    <x v="0"/>
    <s v="Monthly"/>
    <n v="13"/>
    <n v="390.04"/>
    <s v="2024-05-10"/>
    <m/>
    <x v="1"/>
    <n v="11.5"/>
    <n v="7.375"/>
    <n v="4"/>
    <n v="5.25"/>
  </r>
  <r>
    <s v="C1053"/>
    <s v="Sanjay Joshi Group"/>
    <x v="1"/>
    <x v="1"/>
    <s v="London"/>
    <n v="1200"/>
    <s v="2023-05-25"/>
    <s v="Partner"/>
    <s v="S5056"/>
    <x v="0"/>
    <s v="Annual"/>
    <n v="8"/>
    <n v="310.44"/>
    <s v="2023-05-25"/>
    <s v="2024-07-01"/>
    <x v="0"/>
    <n v="5.6"/>
    <n v="2.8666666666666671"/>
    <n v="2"/>
    <n v="6.5"/>
  </r>
  <r>
    <s v="C1054"/>
    <s v="Arjun Bose Group"/>
    <x v="4"/>
    <x v="0"/>
    <s v="Chennai"/>
    <n v="80"/>
    <s v="2024-11-14"/>
    <s v="Paid Ads"/>
    <s v="S5057"/>
    <x v="2"/>
    <s v="Monthly"/>
    <n v="9"/>
    <n v="818.36"/>
    <s v="2024-11-14"/>
    <m/>
    <x v="1"/>
    <n v="7"/>
    <n v="4.5"/>
    <n v="3"/>
    <n v="5.333333333333333"/>
  </r>
  <r>
    <s v="C1055"/>
    <s v="Arun Rao Technologies"/>
    <x v="5"/>
    <x v="1"/>
    <s v="Manchester"/>
    <n v="12"/>
    <s v="2023-03-25"/>
    <s v="Referral"/>
    <s v="S5058"/>
    <x v="1"/>
    <s v="Annual"/>
    <n v="6"/>
    <n v="68.599999999999994"/>
    <s v="2023-03-25"/>
    <s v="2024-08-05"/>
    <x v="0"/>
    <n v="7.4444444444444446"/>
    <n v="3.5555555555555549"/>
    <n v="3"/>
    <n v="6"/>
  </r>
  <r>
    <s v="C1056"/>
    <s v="Kavya Rao Systems"/>
    <x v="6"/>
    <x v="0"/>
    <s v="Pune"/>
    <n v="80"/>
    <s v="2024-07-30"/>
    <s v="Events"/>
    <s v="S5059"/>
    <x v="2"/>
    <s v="Annual"/>
    <n v="5"/>
    <n v="658.68"/>
    <s v="2024-07-30"/>
    <m/>
    <x v="1"/>
    <n v="2.333333333333333"/>
    <n v="1"/>
    <n v="4"/>
    <n v="4.5"/>
  </r>
  <r>
    <s v="C1057"/>
    <s v="Reyansh Joshi Industries"/>
    <x v="7"/>
    <x v="0"/>
    <s v="Delhi"/>
    <n v="1200"/>
    <s v="2023-11-12"/>
    <s v="Referral"/>
    <s v="S5060"/>
    <x v="1"/>
    <s v="Annual"/>
    <n v="8"/>
    <n v="76.44"/>
    <s v="2023-11-12"/>
    <m/>
    <x v="1"/>
    <n v="18.571428571428569"/>
    <n v="9.7142857142857135"/>
    <n v="1"/>
    <n v="9"/>
  </r>
  <r>
    <s v="C1058"/>
    <s v="Riya Das Labs"/>
    <x v="6"/>
    <x v="0"/>
    <s v="Chennai"/>
    <n v="12"/>
    <s v="2024-08-27"/>
    <s v="Referral"/>
    <s v="S5061"/>
    <x v="1"/>
    <s v="Monthly"/>
    <n v="5"/>
    <n v="64.680000000000007"/>
    <s v="2024-08-27"/>
    <s v="2025-01-11"/>
    <x v="0"/>
    <n v="9"/>
    <n v="4.5999999999999996"/>
    <n v="1"/>
    <n v="9"/>
  </r>
  <r>
    <s v="C1059"/>
    <s v="Myra Verma Labs"/>
    <x v="7"/>
    <x v="4"/>
    <s v="Singapore"/>
    <n v="80"/>
    <s v="2024-07-16"/>
    <s v="Organic Search"/>
    <s v="S5062"/>
    <x v="2"/>
    <s v="Annual"/>
    <n v="5"/>
    <n v="658.68"/>
    <s v="2024-07-16"/>
    <m/>
    <x v="1"/>
    <n v="18.833333333333329"/>
    <n v="11.83333333333333"/>
    <n v="2"/>
    <n v="6.5"/>
  </r>
  <r>
    <s v="C1060"/>
    <s v="Aarav Reddy Systems"/>
    <x v="7"/>
    <x v="1"/>
    <s v="London"/>
    <n v="150"/>
    <s v="2023-07-09"/>
    <s v="Organic Search"/>
    <s v="S5063"/>
    <x v="1"/>
    <s v="Annual"/>
    <n v="9"/>
    <n v="80.36"/>
    <s v="2023-07-09"/>
    <m/>
    <x v="1"/>
    <n v="21.388888888888889"/>
    <n v="12.444444444444439"/>
    <n v="2"/>
    <n v="5.5"/>
  </r>
  <r>
    <s v="C1061"/>
    <s v="Isha Gupta Group"/>
    <x v="1"/>
    <x v="3"/>
    <s v="Boston"/>
    <n v="150"/>
    <s v="2023-06-02"/>
    <s v="Paid Ads"/>
    <s v="S5064"/>
    <x v="0"/>
    <s v="Monthly"/>
    <n v="8"/>
    <n v="310.44"/>
    <s v="2023-06-02"/>
    <m/>
    <x v="1"/>
    <n v="14"/>
    <n v="8.3157894736842106"/>
    <n v="2"/>
    <n v="6.5"/>
  </r>
  <r>
    <s v="C1062"/>
    <s v="Kavya Das Solutions"/>
    <x v="4"/>
    <x v="0"/>
    <s v="Mumbai"/>
    <n v="3000"/>
    <s v="2023-06-02"/>
    <s v="Paid Ads"/>
    <s v="S5065"/>
    <x v="0"/>
    <s v="Annual"/>
    <n v="11"/>
    <n v="358.2"/>
    <s v="2023-06-02"/>
    <s v="2023-08-03"/>
    <x v="0"/>
    <n v="2"/>
    <n v="0.66666666666666663"/>
    <n v="2"/>
    <n v="5"/>
  </r>
  <r>
    <s v="C1063"/>
    <s v="Rahul Menon Systems"/>
    <x v="3"/>
    <x v="3"/>
    <s v="Austin"/>
    <n v="12"/>
    <s v="2023-06-09"/>
    <s v="Events"/>
    <s v="S5066"/>
    <x v="1"/>
    <s v="Monthly"/>
    <n v="3"/>
    <n v="56.84"/>
    <s v="2023-06-09"/>
    <s v="2024-03-13"/>
    <x v="0"/>
    <n v="5.2"/>
    <n v="2.5"/>
    <n v="4"/>
    <n v="4.75"/>
  </r>
  <r>
    <s v="C1064"/>
    <s v="Riya Sharma Technologies"/>
    <x v="3"/>
    <x v="0"/>
    <s v="Chennai"/>
    <n v="35"/>
    <s v="2024-03-21"/>
    <s v="Paid Ads"/>
    <s v="S5067"/>
    <x v="1"/>
    <s v="Monthly"/>
    <n v="6"/>
    <n v="68.599999999999994"/>
    <s v="2024-03-21"/>
    <m/>
    <x v="1"/>
    <n v="8.8000000000000007"/>
    <n v="3.9"/>
    <n v="1"/>
    <n v="8"/>
  </r>
  <r>
    <s v="C1065"/>
    <s v="Priya Verma Systems"/>
    <x v="5"/>
    <x v="0"/>
    <s v="Chennai"/>
    <n v="3000"/>
    <s v="2023-10-25"/>
    <s v="Organic Search"/>
    <s v="S5068"/>
    <x v="2"/>
    <s v="Monthly"/>
    <n v="11"/>
    <n v="898.2"/>
    <s v="2023-10-25"/>
    <m/>
    <x v="1"/>
    <n v="6"/>
    <n v="3.1333333333333329"/>
    <n v="4"/>
    <n v="6.25"/>
  </r>
  <r>
    <s v="C1066"/>
    <s v="Ishaan Reddy Solutions"/>
    <x v="5"/>
    <x v="1"/>
    <s v="Manchester"/>
    <n v="80"/>
    <s v="2024-07-18"/>
    <s v="Organic Search"/>
    <s v="S5069"/>
    <x v="1"/>
    <s v="Monthly"/>
    <n v="11"/>
    <n v="88.2"/>
    <s v="2024-07-18"/>
    <m/>
    <x v="1"/>
    <n v="5.333333333333333"/>
    <n v="2.666666666666667"/>
    <n v="3"/>
    <n v="3.333333333333333"/>
  </r>
  <r>
    <s v="C1067"/>
    <s v="Tara Khan Group"/>
    <x v="3"/>
    <x v="0"/>
    <s v="Delhi"/>
    <n v="80"/>
    <s v="2024-02-10"/>
    <s v="Partner"/>
    <s v="S5070"/>
    <x v="0"/>
    <s v="Monthly"/>
    <n v="9"/>
    <n v="326.36"/>
    <s v="2024-02-10"/>
    <m/>
    <x v="1"/>
    <n v="12.63636363636364"/>
    <n v="7.5454545454545459"/>
    <n v="6"/>
    <n v="5.833333333333333"/>
  </r>
  <r>
    <s v="C1068"/>
    <s v="Ananya Gupta Industries"/>
    <x v="6"/>
    <x v="3"/>
    <s v="Seattle"/>
    <n v="150"/>
    <s v="2024-11-04"/>
    <s v="Organic Search"/>
    <s v="S5071"/>
    <x v="0"/>
    <s v="Annual"/>
    <n v="5"/>
    <n v="262.68"/>
    <s v="2024-11-04"/>
    <m/>
    <x v="1"/>
    <n v="2.5"/>
    <n v="0.5"/>
    <n v="2"/>
    <n v="5.5"/>
  </r>
  <r>
    <s v="C1069"/>
    <s v="Aadhya Joshi Systems"/>
    <x v="3"/>
    <x v="0"/>
    <s v="Hyderabad"/>
    <n v="35"/>
    <s v="2023-08-15"/>
    <s v="Partner"/>
    <s v="S5072"/>
    <x v="1"/>
    <s v="Monthly"/>
    <n v="9"/>
    <n v="80.36"/>
    <s v="2023-08-15"/>
    <m/>
    <x v="1"/>
    <n v="15.41176470588235"/>
    <n v="8.2941176470588243"/>
    <n v="2"/>
    <n v="7.5"/>
  </r>
  <r>
    <s v="C1070"/>
    <s v="Kiara Das Solutions"/>
    <x v="4"/>
    <x v="1"/>
    <s v="Manchester"/>
    <n v="35"/>
    <s v="2025-01-25"/>
    <s v="Organic Search"/>
    <s v="S5073"/>
    <x v="1"/>
    <s v="Monthly"/>
    <n v="5"/>
    <n v="64.680000000000007"/>
    <s v="2025-01-25"/>
    <m/>
    <x v="1"/>
    <m/>
    <m/>
    <n v="3"/>
    <n v="7"/>
  </r>
  <r>
    <s v="C1071"/>
    <s v="Arjun Patel Labs"/>
    <x v="5"/>
    <x v="3"/>
    <s v="Austin"/>
    <n v="35"/>
    <s v="2024-09-11"/>
    <s v="Organic Search"/>
    <s v="S5074"/>
    <x v="0"/>
    <s v="Monthly"/>
    <n v="9"/>
    <n v="326.36"/>
    <s v="2024-09-11"/>
    <m/>
    <x v="1"/>
    <n v="20.5"/>
    <n v="10.25"/>
    <n v="4"/>
    <n v="6"/>
  </r>
  <r>
    <s v="C1072"/>
    <s v="Rohan Gupta Technologies"/>
    <x v="7"/>
    <x v="0"/>
    <s v="Pune"/>
    <n v="400"/>
    <s v="2023-04-22"/>
    <s v="Paid Ads"/>
    <s v="S5075"/>
    <x v="0"/>
    <s v="Monthly"/>
    <n v="6"/>
    <n v="278.60000000000002"/>
    <s v="2023-04-22"/>
    <m/>
    <x v="1"/>
    <n v="17.523809523809529"/>
    <n v="10.047619047619049"/>
    <n v="8"/>
    <n v="5.75"/>
  </r>
  <r>
    <s v="C1073"/>
    <s v="Vivaan Menon Group"/>
    <x v="3"/>
    <x v="1"/>
    <s v="London"/>
    <n v="80"/>
    <s v="2023-08-20"/>
    <s v="Partner"/>
    <s v="S5076"/>
    <x v="1"/>
    <s v="Monthly"/>
    <n v="10"/>
    <n v="84.28"/>
    <s v="2023-08-20"/>
    <m/>
    <x v="1"/>
    <n v="8.8235294117647065"/>
    <n v="5.0588235294117636"/>
    <n v="4"/>
    <n v="3.25"/>
  </r>
  <r>
    <s v="C1074"/>
    <s v="Priya Khan Group"/>
    <x v="1"/>
    <x v="1"/>
    <s v="London"/>
    <n v="1200"/>
    <s v="2024-10-11"/>
    <s v="Referral"/>
    <s v="S5077"/>
    <x v="0"/>
    <s v="Monthly"/>
    <n v="7"/>
    <n v="294.52"/>
    <s v="2024-10-11"/>
    <m/>
    <x v="1"/>
    <n v="7.333333333333333"/>
    <n v="4"/>
    <n v="5"/>
    <n v="4.4000000000000004"/>
  </r>
  <r>
    <s v="C1075"/>
    <s v="Ishaan Khan Industries"/>
    <x v="6"/>
    <x v="0"/>
    <s v="Pune"/>
    <n v="35"/>
    <s v="2024-05-01"/>
    <s v="Organic Search"/>
    <s v="S5078"/>
    <x v="2"/>
    <s v="Annual"/>
    <n v="7"/>
    <n v="738.52"/>
    <s v="2024-05-01"/>
    <m/>
    <x v="1"/>
    <n v="4.875"/>
    <n v="2.75"/>
    <n v="5"/>
    <n v="6.6"/>
  </r>
  <r>
    <s v="C1076"/>
    <s v="Arun Khan Labs"/>
    <x v="5"/>
    <x v="0"/>
    <s v="Chennai"/>
    <n v="400"/>
    <s v="2024-05-26"/>
    <s v="Organic Search"/>
    <s v="S5079"/>
    <x v="1"/>
    <s v="Annual"/>
    <n v="10"/>
    <n v="84.28"/>
    <s v="2024-05-26"/>
    <s v="2026-01-13"/>
    <x v="0"/>
    <n v="12.125"/>
    <n v="5.75"/>
    <n v="3"/>
    <n v="4"/>
  </r>
  <r>
    <s v="C1076"/>
    <s v="Arun Khan Labs"/>
    <x v="5"/>
    <x v="0"/>
    <s v="Chennai"/>
    <n v="400"/>
    <s v="2024-05-26"/>
    <s v="Organic Search"/>
    <s v="S5080"/>
    <x v="3"/>
    <s v="Annual"/>
    <n v="9"/>
    <n v="2458.36"/>
    <s v="2026-04-09"/>
    <m/>
    <x v="1"/>
    <n v="12.125"/>
    <n v="5.75"/>
    <n v="3"/>
    <n v="4"/>
  </r>
  <r>
    <s v="C1077"/>
    <s v="Krishna Nair Industries"/>
    <x v="2"/>
    <x v="3"/>
    <s v="Austin"/>
    <n v="1200"/>
    <s v="2024-03-10"/>
    <s v="Paid Ads"/>
    <s v="S5081"/>
    <x v="1"/>
    <s v="Monthly"/>
    <n v="9"/>
    <n v="80.36"/>
    <s v="2024-03-10"/>
    <m/>
    <x v="1"/>
    <n v="6.4"/>
    <n v="3.5"/>
    <n v="4"/>
    <n v="7.5"/>
  </r>
  <r>
    <s v="C1078"/>
    <s v="Rohan Patel Group"/>
    <x v="7"/>
    <x v="0"/>
    <s v="Chennai"/>
    <n v="12"/>
    <s v="2024-03-09"/>
    <s v="Organic Search"/>
    <s v="S5082"/>
    <x v="1"/>
    <s v="Monthly"/>
    <n v="8"/>
    <n v="76.44"/>
    <s v="2024-03-09"/>
    <m/>
    <x v="1"/>
    <n v="3.2"/>
    <n v="1.3"/>
    <n v="8"/>
    <n v="6"/>
  </r>
  <r>
    <s v="C1079"/>
    <s v="Arun Rao Industries"/>
    <x v="5"/>
    <x v="3"/>
    <s v="Austin"/>
    <n v="150"/>
    <s v="2024-07-30"/>
    <s v="Organic Search"/>
    <s v="S5083"/>
    <x v="2"/>
    <s v="Monthly"/>
    <n v="8"/>
    <n v="778.44"/>
    <s v="2024-07-30"/>
    <m/>
    <x v="1"/>
    <n v="12.16666666666667"/>
    <n v="7.166666666666667"/>
    <n v="5"/>
    <n v="7.2"/>
  </r>
  <r>
    <s v="C1080"/>
    <s v="Rohan Sharma Group"/>
    <x v="7"/>
    <x v="0"/>
    <s v="Bengaluru"/>
    <n v="35"/>
    <s v="2024-05-05"/>
    <s v="Partner"/>
    <s v="S5084"/>
    <x v="0"/>
    <s v="Monthly"/>
    <n v="8"/>
    <n v="310.44"/>
    <s v="2024-05-05"/>
    <m/>
    <x v="1"/>
    <n v="3.625"/>
    <n v="1.75"/>
    <n v="2"/>
    <n v="5.5"/>
  </r>
  <r>
    <s v="C1081"/>
    <s v="Ananya Nair Group"/>
    <x v="3"/>
    <x v="3"/>
    <s v="Austin"/>
    <n v="12"/>
    <s v="2024-04-01"/>
    <s v="Outbound"/>
    <s v="S5085"/>
    <x v="1"/>
    <s v="Monthly"/>
    <n v="5"/>
    <n v="64.680000000000007"/>
    <s v="2024-04-01"/>
    <m/>
    <x v="1"/>
    <n v="2.333333333333333"/>
    <n v="0.88888888888888884"/>
    <n v="3"/>
    <n v="6.666666666666667"/>
  </r>
  <r>
    <s v="C1082"/>
    <s v="Aadhya Nair Systems"/>
    <x v="1"/>
    <x v="0"/>
    <s v="Delhi"/>
    <n v="35"/>
    <s v="2024-06-06"/>
    <s v="Paid Ads"/>
    <s v="S5086"/>
    <x v="0"/>
    <s v="Monthly"/>
    <n v="7"/>
    <n v="294.52"/>
    <s v="2024-06-06"/>
    <m/>
    <x v="1"/>
    <n v="13.142857142857141"/>
    <n v="5.8571428571428568"/>
    <n v="6"/>
    <n v="4.333333333333333"/>
  </r>
  <r>
    <s v="C1083"/>
    <s v="Deepak Das Group"/>
    <x v="2"/>
    <x v="0"/>
    <s v="Mumbai"/>
    <n v="1200"/>
    <s v="2024-03-01"/>
    <s v="Organic Search"/>
    <s v="S5087"/>
    <x v="1"/>
    <s v="Annual"/>
    <n v="9"/>
    <n v="80.36"/>
    <s v="2024-03-01"/>
    <m/>
    <x v="1"/>
    <n v="6.3"/>
    <n v="3.1"/>
    <n v="1"/>
    <n v="5"/>
  </r>
  <r>
    <s v="C1084"/>
    <s v="Meera Patel Industries"/>
    <x v="1"/>
    <x v="4"/>
    <s v="Singapore"/>
    <n v="35"/>
    <s v="2025-01-17"/>
    <s v="Organic Search"/>
    <s v="S5088"/>
    <x v="0"/>
    <s v="Monthly"/>
    <n v="7"/>
    <n v="294.52"/>
    <s v="2025-01-17"/>
    <m/>
    <x v="1"/>
    <m/>
    <m/>
    <n v="5"/>
    <n v="6.6"/>
  </r>
  <r>
    <s v="C1085"/>
    <s v="Aditya Reddy Group"/>
    <x v="3"/>
    <x v="4"/>
    <s v="Singapore"/>
    <n v="12"/>
    <s v="2023-06-17"/>
    <s v="Partner"/>
    <s v="S5089"/>
    <x v="2"/>
    <s v="Annual"/>
    <n v="4"/>
    <n v="618.76"/>
    <s v="2023-06-17"/>
    <s v="2024-01-17"/>
    <x v="0"/>
    <n v="13.625"/>
    <n v="7.5"/>
    <n v="2"/>
    <n v="8"/>
  </r>
  <r>
    <s v="C1086"/>
    <s v="Karthik Sharma Systems"/>
    <x v="7"/>
    <x v="3"/>
    <s v="Boston"/>
    <n v="400"/>
    <s v="2023-04-29"/>
    <s v="Organic Search"/>
    <s v="S5090"/>
    <x v="2"/>
    <s v="Monthly"/>
    <n v="9"/>
    <n v="818.36"/>
    <s v="2023-04-29"/>
    <m/>
    <x v="1"/>
    <n v="2.1904761904761911"/>
    <n v="1"/>
    <n v="2"/>
    <n v="2.5"/>
  </r>
  <r>
    <s v="C1087"/>
    <s v="Diya Iyer Labs"/>
    <x v="2"/>
    <x v="0"/>
    <s v="Mumbai"/>
    <n v="12"/>
    <s v="2024-11-03"/>
    <s v="Outbound"/>
    <s v="S5091"/>
    <x v="1"/>
    <s v="Annual"/>
    <n v="4"/>
    <n v="60.76"/>
    <s v="2024-11-03"/>
    <m/>
    <x v="1"/>
    <n v="5"/>
    <n v="3"/>
    <n v="4"/>
    <n v="5.75"/>
  </r>
  <r>
    <s v="C1088"/>
    <s v="Reyansh Das Technologies"/>
    <x v="6"/>
    <x v="2"/>
    <s v="Dubai"/>
    <n v="12"/>
    <s v="2023-06-30"/>
    <s v="Events"/>
    <s v="S5092"/>
    <x v="0"/>
    <s v="Monthly"/>
    <n v="8"/>
    <n v="310.44"/>
    <s v="2023-06-30"/>
    <m/>
    <x v="1"/>
    <n v="3.4210526315789469"/>
    <n v="1.631578947368421"/>
    <n v="3"/>
    <n v="6.333333333333333"/>
  </r>
  <r>
    <s v="C1089"/>
    <s v="Reyansh Bose Solutions"/>
    <x v="4"/>
    <x v="1"/>
    <s v="London"/>
    <n v="150"/>
    <s v="2024-05-27"/>
    <s v="Organic Search"/>
    <s v="S5093"/>
    <x v="1"/>
    <s v="Monthly"/>
    <n v="9"/>
    <n v="294.52"/>
    <s v="2024-05-27"/>
    <m/>
    <x v="1"/>
    <n v="2.75"/>
    <n v="1.125"/>
    <n v="4"/>
    <n v="7.5"/>
  </r>
  <r>
    <s v="C1090"/>
    <s v="Aarav Menon Group"/>
    <x v="4"/>
    <x v="4"/>
    <s v="Singapore"/>
    <n v="150"/>
    <s v="2024-10-05"/>
    <s v="Partner"/>
    <s v="S5094"/>
    <x v="0"/>
    <s v="Monthly"/>
    <n v="9"/>
    <n v="326.36"/>
    <s v="2024-10-05"/>
    <s v="2025-10-19"/>
    <x v="0"/>
    <n v="3"/>
    <n v="1.333333333333333"/>
    <n v="3"/>
    <n v="6.333333333333333"/>
  </r>
  <r>
    <s v="C1091"/>
    <s v="Myra Nair Solutions"/>
    <x v="1"/>
    <x v="0"/>
    <s v="Bengaluru"/>
    <n v="35"/>
    <s v="2024-11-17"/>
    <s v="Events"/>
    <s v="S5095"/>
    <x v="2"/>
    <s v="Annual"/>
    <n v="4"/>
    <n v="618.76"/>
    <s v="2024-11-17"/>
    <m/>
    <x v="1"/>
    <n v="6.5"/>
    <n v="3"/>
    <n v="3"/>
    <n v="1"/>
  </r>
  <r>
    <s v="C1092"/>
    <s v="Aman Sharma Solutions"/>
    <x v="2"/>
    <x v="0"/>
    <s v="Delhi"/>
    <n v="150"/>
    <s v="2024-12-05"/>
    <s v="Organic Search"/>
    <s v="S5096"/>
    <x v="1"/>
    <s v="Monthly"/>
    <n v="6"/>
    <n v="68.599999999999994"/>
    <s v="2024-12-05"/>
    <m/>
    <x v="1"/>
    <n v="7"/>
    <n v="2"/>
    <n v="2"/>
    <n v="4.5"/>
  </r>
  <r>
    <s v="C1093"/>
    <s v="Aarav Joshi Technologies"/>
    <x v="2"/>
    <x v="0"/>
    <s v="Mumbai"/>
    <n v="400"/>
    <s v="2023-05-28"/>
    <s v="Organic Search"/>
    <s v="S5097"/>
    <x v="2"/>
    <s v="Monthly"/>
    <n v="5"/>
    <n v="658.68"/>
    <s v="2023-05-28"/>
    <m/>
    <x v="1"/>
    <n v="13.15"/>
    <n v="7.95"/>
    <n v="5"/>
    <n v="5.4"/>
  </r>
  <r>
    <s v="C1094"/>
    <s v="Isha Nair Solutions"/>
    <x v="2"/>
    <x v="3"/>
    <s v="Seattle"/>
    <n v="80"/>
    <s v="2023-03-05"/>
    <s v="Referral"/>
    <s v="S5098"/>
    <x v="3"/>
    <s v="Monthly"/>
    <n v="4"/>
    <n v="1858.76"/>
    <s v="2023-03-05"/>
    <m/>
    <x v="1"/>
    <n v="17.13636363636364"/>
    <n v="9.3636363636363633"/>
    <n v="2"/>
    <n v="5"/>
  </r>
  <r>
    <s v="C1095"/>
    <s v="Aarav Das Industries"/>
    <x v="3"/>
    <x v="4"/>
    <s v="Singapore"/>
    <n v="400"/>
    <s v="2023-02-13"/>
    <s v="Partner"/>
    <s v="S5099"/>
    <x v="1"/>
    <s v="Monthly"/>
    <n v="7"/>
    <n v="72.52"/>
    <s v="2023-02-13"/>
    <m/>
    <x v="1"/>
    <n v="7.3913043478260869"/>
    <n v="4"/>
    <n v="2"/>
    <n v="2"/>
  </r>
  <r>
    <s v="C1096"/>
    <s v="Deepak Gupta Labs"/>
    <x v="1"/>
    <x v="3"/>
    <s v="Boston"/>
    <n v="150"/>
    <s v="2024-03-07"/>
    <s v="Organic Search"/>
    <s v="S5100"/>
    <x v="0"/>
    <s v="Annual"/>
    <n v="8"/>
    <n v="310.44"/>
    <s v="2024-03-07"/>
    <m/>
    <x v="1"/>
    <n v="15.1"/>
    <n v="7.5"/>
    <n v="5"/>
    <n v="6.4"/>
  </r>
  <r>
    <s v="C1097"/>
    <s v="Diya Gupta Industries"/>
    <x v="3"/>
    <x v="3"/>
    <s v="Boston"/>
    <n v="1200"/>
    <s v="2024-12-24"/>
    <s v="Paid Ads"/>
    <s v="S5101"/>
    <x v="1"/>
    <s v="Monthly"/>
    <n v="6"/>
    <n v="68.599999999999994"/>
    <s v="2024-12-24"/>
    <s v="2025-12-30"/>
    <x v="0"/>
    <n v="4"/>
    <n v="2"/>
    <n v="5"/>
    <n v="7"/>
  </r>
  <r>
    <s v="C1098"/>
    <s v="Myra Nair Systems"/>
    <x v="3"/>
    <x v="1"/>
    <s v="London"/>
    <n v="12"/>
    <s v="2024-04-24"/>
    <s v="Organic Search"/>
    <s v="S5102"/>
    <x v="2"/>
    <s v="Annual"/>
    <n v="9"/>
    <n v="818.36"/>
    <s v="2024-04-24"/>
    <m/>
    <x v="1"/>
    <n v="8.6666666666666661"/>
    <n v="4.2222222222222223"/>
    <n v="3"/>
    <n v="5"/>
  </r>
  <r>
    <s v="C1099"/>
    <s v="Ishaan Patel Group"/>
    <x v="3"/>
    <x v="0"/>
    <s v="Mumbai"/>
    <n v="1200"/>
    <s v="2023-02-17"/>
    <s v="Paid Ads"/>
    <s v="S5103"/>
    <x v="1"/>
    <s v="Monthly"/>
    <n v="11"/>
    <n v="88.2"/>
    <s v="2023-02-17"/>
    <s v="2024-02-09"/>
    <x v="0"/>
    <n v="5.3076923076923066"/>
    <n v="2.5384615384615379"/>
    <n v="3"/>
    <n v="6.333333333333333"/>
  </r>
  <r>
    <s v="C1100"/>
    <s v="Priya Gupta Solutions"/>
    <x v="6"/>
    <x v="2"/>
    <s v="Abu Dhabi"/>
    <n v="80"/>
    <s v="2024-07-27"/>
    <s v="Partner"/>
    <s v="S5104"/>
    <x v="3"/>
    <s v="Monthly"/>
    <n v="6"/>
    <n v="2098.6"/>
    <s v="2024-07-27"/>
    <m/>
    <x v="1"/>
    <n v="16.5"/>
    <n v="8.3333333333333339"/>
    <n v="2"/>
    <n v="4.5"/>
  </r>
  <r>
    <s v="C1101"/>
    <s v="Zoya Bose Industries"/>
    <x v="1"/>
    <x v="1"/>
    <s v="London"/>
    <n v="400"/>
    <s v="2023-02-24"/>
    <s v="Outbound"/>
    <s v="S5105"/>
    <x v="0"/>
    <s v="Annual"/>
    <n v="7"/>
    <n v="294.52"/>
    <s v="2023-02-24"/>
    <m/>
    <x v="1"/>
    <n v="7.2173913043478262"/>
    <n v="3.7391304347826089"/>
    <n v="2"/>
    <n v="4"/>
  </r>
  <r>
    <s v="C1102"/>
    <s v="Deepak Iyer Solutions"/>
    <x v="2"/>
    <x v="0"/>
    <s v="Delhi"/>
    <n v="150"/>
    <s v="2023-03-18"/>
    <s v="Paid Ads"/>
    <s v="S5106"/>
    <x v="3"/>
    <s v="Monthly"/>
    <n v="7"/>
    <n v="2218.52"/>
    <s v="2023-03-18"/>
    <m/>
    <x v="2"/>
    <n v="14.95454545454546"/>
    <n v="8.2272727272727266"/>
    <n v="2"/>
    <n v="6.5"/>
  </r>
  <r>
    <s v="C1103"/>
    <s v="Pooja Menon Group"/>
    <x v="2"/>
    <x v="0"/>
    <s v="Mumbai"/>
    <n v="1200"/>
    <s v="2023-07-30"/>
    <s v="Unknown"/>
    <s v="S5107"/>
    <x v="3"/>
    <s v="Monthly"/>
    <n v="14"/>
    <n v="3057.96"/>
    <s v="2023-07-30"/>
    <m/>
    <x v="1"/>
    <n v="11.388888888888889"/>
    <n v="7.0555555555555554"/>
    <n v="2"/>
    <n v="5"/>
  </r>
  <r>
    <s v="C1104"/>
    <s v="Farhan Iyer Group"/>
    <x v="1"/>
    <x v="4"/>
    <s v="Singapore"/>
    <n v="12"/>
    <s v="2024-10-10"/>
    <s v="Events"/>
    <s v="S5108"/>
    <x v="1"/>
    <s v="Annual"/>
    <n v="7"/>
    <n v="72.52"/>
    <s v="2024-10-10"/>
    <m/>
    <x v="1"/>
    <n v="4.666666666666667"/>
    <n v="2"/>
    <n v="1"/>
    <n v="2"/>
  </r>
  <r>
    <s v="C1105"/>
    <s v="Riya Gupta Labs"/>
    <x v="7"/>
    <x v="0"/>
    <s v="Bengaluru"/>
    <n v="12"/>
    <s v="2023-01-30"/>
    <s v="Organic Search"/>
    <s v="S5109"/>
    <x v="2"/>
    <s v="Monthly"/>
    <n v="6"/>
    <n v="698.6"/>
    <s v="2023-01-30"/>
    <m/>
    <x v="1"/>
    <n v="9.0833333333333339"/>
    <n v="5"/>
    <n v="2"/>
    <n v="6.5"/>
  </r>
  <r>
    <s v="C1106"/>
    <s v="Ananya Singh Group"/>
    <x v="3"/>
    <x v="4"/>
    <s v="Singapore"/>
    <n v="80"/>
    <s v="2024-09-29"/>
    <s v="Referral"/>
    <s v="S5110"/>
    <x v="0"/>
    <s v="Annual"/>
    <n v="1"/>
    <n v="199"/>
    <s v="2024-09-29"/>
    <m/>
    <x v="1"/>
    <n v="4.75"/>
    <n v="2.75"/>
    <n v="3"/>
    <n v="4.333333333333333"/>
  </r>
  <r>
    <s v="C1107"/>
    <s v="Isha Nair Technologies"/>
    <x v="2"/>
    <x v="0"/>
    <s v="Pune"/>
    <n v="3000"/>
    <s v="2023-12-07"/>
    <s v="Partner"/>
    <s v="S5111"/>
    <x v="1"/>
    <s v="Monthly"/>
    <n v="5"/>
    <n v="64.680000000000007"/>
    <s v="2023-12-07"/>
    <s v="2025-02-17"/>
    <x v="0"/>
    <n v="10.07692307692308"/>
    <n v="5.2307692307692308"/>
    <n v="4"/>
    <n v="4.75"/>
  </r>
  <r>
    <s v="C1108"/>
    <s v="Saanvi Joshi Systems"/>
    <x v="0"/>
    <x v="4"/>
    <s v="Singapore"/>
    <n v="150"/>
    <s v="2023-01-14"/>
    <s v="Paid Ads"/>
    <s v="S5112"/>
    <x v="1"/>
    <s v="Monthly"/>
    <n v="6"/>
    <n v="68.599999999999994"/>
    <s v="2023-01-14"/>
    <m/>
    <x v="2"/>
    <n v="13.29166666666667"/>
    <n v="8.125"/>
    <n v="2"/>
    <n v="8.5"/>
  </r>
  <r>
    <s v="C1109"/>
    <s v="Kiara Verma Industries"/>
    <x v="2"/>
    <x v="2"/>
    <s v="Dubai"/>
    <n v="80"/>
    <s v="2023-02-19"/>
    <s v="Organic Search"/>
    <s v="S5113"/>
    <x v="0"/>
    <s v="Monthly"/>
    <n v="5"/>
    <n v="262.68"/>
    <s v="2023-02-19"/>
    <m/>
    <x v="1"/>
    <n v="17.260869565217391"/>
    <n v="9.4782608695652169"/>
    <n v="6"/>
    <n v="6.166666666666667"/>
  </r>
  <r>
    <s v="C1110"/>
    <s v="Tara Sharma Solutions"/>
    <x v="7"/>
    <x v="1"/>
    <s v="Manchester"/>
    <n v="35"/>
    <s v="2024-07-30"/>
    <s v="Outbound"/>
    <s v="S5114"/>
    <x v="0"/>
    <s v="Annual"/>
    <n v="7"/>
    <n v="294.52"/>
    <s v="2024-07-30"/>
    <m/>
    <x v="1"/>
    <n v="11.66666666666667"/>
    <n v="6.166666666666667"/>
    <n v="1"/>
    <n v="7"/>
  </r>
  <r>
    <s v="C1111"/>
    <s v="Priya Khan Industries"/>
    <x v="0"/>
    <x v="2"/>
    <s v="Abu Dhabi"/>
    <n v="35"/>
    <s v="2024-06-30"/>
    <s v="Organic Search"/>
    <s v="S5115"/>
    <x v="2"/>
    <s v="Monthly"/>
    <n v="5"/>
    <n v="658.68"/>
    <s v="2024-06-30"/>
    <m/>
    <x v="1"/>
    <n v="13.857142857142859"/>
    <n v="8.1428571428571423"/>
    <n v="6"/>
    <n v="5.166666666666667"/>
  </r>
  <r>
    <s v="C1112"/>
    <s v="Aarav Singh Labs"/>
    <x v="5"/>
    <x v="1"/>
    <s v="London"/>
    <n v="1200"/>
    <s v="2023-07-25"/>
    <s v="Partner"/>
    <s v="S5116"/>
    <x v="1"/>
    <s v="Annual"/>
    <n v="7"/>
    <n v="72.52"/>
    <s v="2023-07-25"/>
    <s v="2024-10-18"/>
    <x v="0"/>
    <n v="12.3125"/>
    <n v="7.1875"/>
    <n v="7"/>
    <n v="6"/>
  </r>
  <r>
    <s v="C1113"/>
    <s v="Riya Iyer Technologies"/>
    <x v="6"/>
    <x v="0"/>
    <s v="Chennai"/>
    <n v="12"/>
    <s v="2024-09-12"/>
    <s v="Outbound"/>
    <s v="S5117"/>
    <x v="3"/>
    <s v="Annual"/>
    <n v="10"/>
    <n v="2578.2800000000002"/>
    <s v="2024-09-12"/>
    <m/>
    <x v="1"/>
    <n v="18.75"/>
    <n v="14.5"/>
    <n v="5"/>
    <n v="5"/>
  </r>
  <r>
    <s v="C1114"/>
    <s v="Aadhya Das Industries"/>
    <x v="4"/>
    <x v="3"/>
    <s v="Boston"/>
    <n v="35"/>
    <s v="2024-11-26"/>
    <s v="Outbound"/>
    <s v="S5118"/>
    <x v="1"/>
    <s v="Monthly"/>
    <n v="9"/>
    <n v="80.36"/>
    <s v="2024-11-26"/>
    <m/>
    <x v="1"/>
    <n v="21.5"/>
    <n v="13.5"/>
    <n v="2"/>
    <n v="4.5"/>
  </r>
  <r>
    <s v="C1115"/>
    <s v="Rahul Rao Labs"/>
    <x v="1"/>
    <x v="2"/>
    <s v="Dubai"/>
    <n v="12"/>
    <s v="2024-09-16"/>
    <s v="Partner"/>
    <s v="S5119"/>
    <x v="1"/>
    <s v="Monthly"/>
    <n v="11"/>
    <n v="88.2"/>
    <s v="2024-09-16"/>
    <s v="2025-03-06"/>
    <x v="0"/>
    <n v="8"/>
    <n v="2.75"/>
    <n v="5"/>
    <n v="6"/>
  </r>
  <r>
    <s v="C1116"/>
    <s v="Isha Gupta Group"/>
    <x v="1"/>
    <x v="0"/>
    <s v="Mumbai"/>
    <n v="35"/>
    <s v="2024-12-01"/>
    <s v="Partner"/>
    <s v="S5120"/>
    <x v="1"/>
    <s v="Annual"/>
    <n v="9"/>
    <n v="80.36"/>
    <s v="2024-12-01"/>
    <m/>
    <x v="1"/>
    <n v="3"/>
    <n v="2"/>
    <n v="5"/>
    <n v="5.2"/>
  </r>
  <r>
    <s v="C1117"/>
    <s v="Arun Gupta Labs"/>
    <x v="5"/>
    <x v="2"/>
    <s v="Abu Dhabi"/>
    <n v="400"/>
    <s v="2024-01-27"/>
    <s v="Events"/>
    <s v="S5121"/>
    <x v="2"/>
    <s v="Monthly"/>
    <n v="7"/>
    <n v="738.52"/>
    <s v="2024-01-27"/>
    <s v="2024-03-21"/>
    <x v="0"/>
    <n v="7"/>
    <n v="5"/>
    <n v="3"/>
    <n v="4.666666666666667"/>
  </r>
  <r>
    <s v="C1118"/>
    <s v="Ishaan Reddy Group"/>
    <x v="5"/>
    <x v="2"/>
    <s v="Abu Dhabi"/>
    <n v="400"/>
    <s v="2024-07-17"/>
    <s v="Events"/>
    <s v="S5122"/>
    <x v="0"/>
    <s v="Monthly"/>
    <n v="6"/>
    <n v="278.60000000000002"/>
    <s v="2024-07-17"/>
    <m/>
    <x v="1"/>
    <n v="4.166666666666667"/>
    <n v="1.5"/>
    <n v="1"/>
    <n v="2"/>
  </r>
  <r>
    <s v="C1119"/>
    <s v="Deepak Verma Systems"/>
    <x v="3"/>
    <x v="0"/>
    <s v="Bengaluru"/>
    <n v="80"/>
    <s v="2023-07-29"/>
    <s v="Referral"/>
    <s v="S5123"/>
    <x v="1"/>
    <s v="Monthly"/>
    <n v="7"/>
    <n v="72.52"/>
    <s v="2023-07-29"/>
    <m/>
    <x v="1"/>
    <n v="7.9444444444444446"/>
    <n v="4.333333333333333"/>
    <n v="3"/>
    <n v="7.333333333333333"/>
  </r>
  <r>
    <s v="C1120"/>
    <s v="Pooja Rao Solutions"/>
    <x v="4"/>
    <x v="2"/>
    <s v="Abu Dhabi"/>
    <n v="80"/>
    <s v="2024-06-20"/>
    <s v="Outbound"/>
    <s v="S5124"/>
    <x v="0"/>
    <s v="Monthly"/>
    <n v="8"/>
    <n v="310.44"/>
    <s v="2024-06-20"/>
    <m/>
    <x v="1"/>
    <n v="7.5714285714285712"/>
    <n v="4.4285714285714288"/>
    <n v="2"/>
    <n v="5"/>
  </r>
  <r>
    <s v="C1121"/>
    <s v="Ishaan Singh Group"/>
    <x v="3"/>
    <x v="0"/>
    <s v="Mumbai"/>
    <n v="1200"/>
    <s v="2023-04-13"/>
    <s v="Events"/>
    <s v="S5125"/>
    <x v="3"/>
    <s v="Monthly"/>
    <n v="4"/>
    <n v="1858.76"/>
    <s v="2023-04-13"/>
    <m/>
    <x v="1"/>
    <n v="17.19047619047619"/>
    <n v="9.0476190476190474"/>
    <n v="3"/>
    <n v="6"/>
  </r>
  <r>
    <s v="C1122"/>
    <s v="Aarav Gupta Technologies"/>
    <x v="3"/>
    <x v="0"/>
    <s v="Bengaluru"/>
    <n v="12"/>
    <s v="2024-04-06"/>
    <s v="Referral"/>
    <s v="S5126"/>
    <x v="0"/>
    <s v="Monthly"/>
    <n v="8"/>
    <n v="310.44"/>
    <s v="2024-04-06"/>
    <s v="2024-11-28"/>
    <x v="0"/>
    <n v="6.375"/>
    <n v="3.25"/>
    <n v="3"/>
    <n v="5"/>
  </r>
  <r>
    <s v="C1123"/>
    <s v="Vihaan Joshi Solutions"/>
    <x v="4"/>
    <x v="0"/>
    <s v="Mumbai"/>
    <n v="400"/>
    <s v="2024-05-09"/>
    <s v="Outbound"/>
    <s v="S5127"/>
    <x v="1"/>
    <s v="Annual"/>
    <n v="12"/>
    <n v="92.12"/>
    <s v="2024-05-09"/>
    <m/>
    <x v="1"/>
    <n v="12.875"/>
    <n v="8"/>
    <n v="5"/>
    <n v="5"/>
  </r>
  <r>
    <s v="C1124"/>
    <s v="Krishna Sharma Systems"/>
    <x v="4"/>
    <x v="1"/>
    <s v="Manchester"/>
    <n v="150"/>
    <s v="2024-08-09"/>
    <s v="Partner"/>
    <s v="S5128"/>
    <x v="0"/>
    <s v="Annual"/>
    <n v="6"/>
    <n v="278.60000000000002"/>
    <s v="2024-08-09"/>
    <m/>
    <x v="1"/>
    <n v="5.4"/>
    <n v="3.2"/>
    <n v="1"/>
    <n v="6"/>
  </r>
  <r>
    <s v="C1125"/>
    <s v="Kiara Verma Systems"/>
    <x v="7"/>
    <x v="1"/>
    <s v="London"/>
    <n v="12"/>
    <s v="2023-06-17"/>
    <s v="Referral"/>
    <s v="S5129"/>
    <x v="1"/>
    <s v="Monthly"/>
    <n v="11"/>
    <n v="88.2"/>
    <s v="2023-06-17"/>
    <s v="2024-07-05"/>
    <x v="0"/>
    <n v="12.21428571428571"/>
    <n v="6.9285714285714288"/>
    <n v="5"/>
    <n v="5.6"/>
  </r>
  <r>
    <s v="C1126"/>
    <s v="Sneha Iyer Group"/>
    <x v="2"/>
    <x v="0"/>
    <s v="Chennai"/>
    <n v="35"/>
    <s v="2023-10-11"/>
    <s v="Outbound"/>
    <s v="S5130"/>
    <x v="1"/>
    <s v="Monthly"/>
    <n v="13"/>
    <n v="96.04"/>
    <s v="2023-10-11"/>
    <m/>
    <x v="1"/>
    <n v="13.2"/>
    <n v="8.7333333333333325"/>
    <n v="4"/>
    <n v="5.25"/>
  </r>
  <r>
    <s v="C1127"/>
    <s v="Divya Gupta Labs"/>
    <x v="5"/>
    <x v="2"/>
    <s v="Abu Dhabi"/>
    <n v="35"/>
    <s v="2024-03-16"/>
    <s v="Partner"/>
    <s v="S5131"/>
    <x v="0"/>
    <s v="Annual"/>
    <n v="6"/>
    <n v="278.60000000000002"/>
    <s v="2024-03-16"/>
    <m/>
    <x v="1"/>
    <n v="17.3"/>
    <n v="9.1"/>
    <n v="6"/>
    <n v="4.166666666666667"/>
  </r>
  <r>
    <s v="C1128"/>
    <s v="Sneha Rao Industries"/>
    <x v="1"/>
    <x v="0"/>
    <s v="Mumbai"/>
    <n v="400"/>
    <s v="2023-09-29"/>
    <s v="Organic Search"/>
    <s v="S5132"/>
    <x v="1"/>
    <s v="Monthly"/>
    <n v="11"/>
    <n v="88.2"/>
    <s v="2023-09-29"/>
    <m/>
    <x v="1"/>
    <n v="20.3125"/>
    <n v="11.6875"/>
    <n v="2"/>
    <n v="6.5"/>
  </r>
  <r>
    <s v="C1129"/>
    <s v="Farhan Reddy Labs"/>
    <x v="4"/>
    <x v="0"/>
    <s v="Mumbai"/>
    <n v="3000"/>
    <s v="2024-05-26"/>
    <s v="Referral"/>
    <s v="S5133"/>
    <x v="2"/>
    <s v="Annual"/>
    <n v="10"/>
    <n v="858.28"/>
    <s v="2024-05-26"/>
    <s v="2025-04-24"/>
    <x v="0"/>
    <n v="7.125"/>
    <n v="4"/>
    <n v="3"/>
    <n v="6.333333333333333"/>
  </r>
  <r>
    <s v="C1130"/>
    <s v="Nikita Iyer Technologies"/>
    <x v="7"/>
    <x v="2"/>
    <s v="Dubai"/>
    <n v="150"/>
    <s v="2024-03-26"/>
    <s v="Unknown"/>
    <s v="S5134"/>
    <x v="1"/>
    <s v="Monthly"/>
    <n v="9"/>
    <n v="80.36"/>
    <s v="2024-03-26"/>
    <m/>
    <x v="1"/>
    <n v="18.100000000000001"/>
    <n v="10.8"/>
    <n v="3"/>
    <n v="8.3333333333333339"/>
  </r>
  <r>
    <s v="C1131"/>
    <s v="Aditya Menon Industries"/>
    <x v="4"/>
    <x v="2"/>
    <s v="Abu Dhabi"/>
    <n v="80"/>
    <s v="2023-05-05"/>
    <s v="Organic Search"/>
    <s v="S5135"/>
    <x v="0"/>
    <s v="Monthly"/>
    <n v="5"/>
    <n v="262.68"/>
    <s v="2023-05-05"/>
    <s v="2024-06-01"/>
    <x v="0"/>
    <n v="6.1428571428571432"/>
    <n v="3.0952380952380949"/>
    <n v="4"/>
    <n v="4.75"/>
  </r>
  <r>
    <s v="C1131"/>
    <s v="Aditya Menon Industries"/>
    <x v="4"/>
    <x v="2"/>
    <s v="Abu Dhabi"/>
    <n v="80"/>
    <s v="2023-05-05"/>
    <s v="Organic Search"/>
    <s v="S5136"/>
    <x v="0"/>
    <s v="Monthly"/>
    <n v="5"/>
    <n v="262.68"/>
    <s v="2024-06-21"/>
    <m/>
    <x v="2"/>
    <n v="6.1428571428571432"/>
    <n v="3.0952380952380949"/>
    <n v="4"/>
    <n v="4.75"/>
  </r>
  <r>
    <s v="C1132"/>
    <s v="Sneha Khan Solutions"/>
    <x v="1"/>
    <x v="4"/>
    <s v="Singapore"/>
    <n v="35"/>
    <s v="2023-12-07"/>
    <s v="Organic Search"/>
    <s v="S5137"/>
    <x v="1"/>
    <s v="Annual"/>
    <n v="8"/>
    <n v="76.44"/>
    <s v="2023-12-07"/>
    <s v="2025-05-09"/>
    <x v="0"/>
    <n v="2.8461538461538458"/>
    <n v="1.0769230769230771"/>
    <m/>
    <m/>
  </r>
  <r>
    <s v="C1132"/>
    <s v="Sneha Khan Solutions"/>
    <x v="1"/>
    <x v="4"/>
    <s v="Singapore"/>
    <n v="35"/>
    <s v="2023-12-07"/>
    <s v="Organic Search"/>
    <s v="S5138"/>
    <x v="2"/>
    <s v="Monthly"/>
    <n v="6"/>
    <n v="698.6"/>
    <s v="2025-06-10"/>
    <m/>
    <x v="2"/>
    <n v="2.8461538461538458"/>
    <n v="1.0769230769230771"/>
    <m/>
    <m/>
  </r>
  <r>
    <s v="C1133"/>
    <s v="Divya Nair Solutions"/>
    <x v="2"/>
    <x v="0"/>
    <s v="Pune"/>
    <n v="12"/>
    <s v="2025-01-25"/>
    <s v="Events"/>
    <s v="S5139"/>
    <x v="1"/>
    <s v="Monthly"/>
    <n v="9"/>
    <n v="80.36"/>
    <s v="2025-01-25"/>
    <m/>
    <x v="1"/>
    <m/>
    <m/>
    <n v="1"/>
    <n v="8"/>
  </r>
  <r>
    <s v="C1134"/>
    <s v="Tara Reddy Industries"/>
    <x v="6"/>
    <x v="0"/>
    <s v="Delhi"/>
    <n v="35"/>
    <s v="2023-01-30"/>
    <s v="Referral"/>
    <s v="S5140"/>
    <x v="1"/>
    <s v="Monthly"/>
    <n v="3"/>
    <n v="56.84"/>
    <s v="2023-01-30"/>
    <m/>
    <x v="1"/>
    <n v="18.875"/>
    <n v="9.6666666666666661"/>
    <n v="6"/>
    <n v="5.666666666666667"/>
  </r>
  <r>
    <s v="C1135"/>
    <s v="Nikita Menon Solutions"/>
    <x v="5"/>
    <x v="0"/>
    <s v="Hyderabad"/>
    <n v="35"/>
    <s v="2023-11-21"/>
    <s v="Organic Search"/>
    <s v="S5141"/>
    <x v="0"/>
    <s v="Monthly"/>
    <n v="4"/>
    <n v="246.76"/>
    <s v="2023-11-21"/>
    <m/>
    <x v="1"/>
    <n v="11.357142857142859"/>
    <n v="6.7857142857142856"/>
    <n v="3"/>
    <n v="4.666666666666667"/>
  </r>
  <r>
    <s v="C1136"/>
    <s v="Deepak Bose Group"/>
    <x v="7"/>
    <x v="2"/>
    <s v="Dubai"/>
    <n v="35"/>
    <s v="2024-04-04"/>
    <s v="Paid Ads"/>
    <s v="S5142"/>
    <x v="0"/>
    <s v="Monthly"/>
    <n v="7"/>
    <n v="294.52"/>
    <s v="2024-04-04"/>
    <m/>
    <x v="1"/>
    <n v="5.2222222222222223"/>
    <n v="2.7777777777777781"/>
    <m/>
    <m/>
  </r>
  <r>
    <s v="C1137"/>
    <s v="Arun Verma Labs"/>
    <x v="1"/>
    <x v="0"/>
    <s v="Pune"/>
    <n v="80"/>
    <s v="2023-08-09"/>
    <s v="Partner"/>
    <s v="S5143"/>
    <x v="0"/>
    <s v="Annual"/>
    <n v="10"/>
    <n v="342.28"/>
    <s v="2023-08-09"/>
    <s v="2024-03-14"/>
    <x v="0"/>
    <n v="13.75"/>
    <n v="7.75"/>
    <n v="6"/>
    <n v="5.5"/>
  </r>
  <r>
    <s v="C1138"/>
    <s v="Meera Sharma Labs"/>
    <x v="2"/>
    <x v="0"/>
    <s v="Bengaluru"/>
    <n v="35"/>
    <s v="2024-10-27"/>
    <s v="Outbound"/>
    <s v="S5144"/>
    <x v="1"/>
    <s v="Monthly"/>
    <n v="10"/>
    <n v="84.28"/>
    <s v="2024-10-27"/>
    <m/>
    <x v="1"/>
    <n v="16.666666666666671"/>
    <n v="8.3333333333333339"/>
    <n v="5"/>
    <n v="5"/>
  </r>
  <r>
    <s v="C1139"/>
    <s v="Arjun Menon Group"/>
    <x v="3"/>
    <x v="0"/>
    <s v="Delhi"/>
    <n v="12"/>
    <s v="2023-07-17"/>
    <s v="Referral"/>
    <s v="S5145"/>
    <x v="1"/>
    <s v="Annual"/>
    <n v="6"/>
    <n v="68.599999999999994"/>
    <s v="2023-07-17"/>
    <m/>
    <x v="1"/>
    <n v="11.72222222222222"/>
    <n v="6"/>
    <n v="4"/>
    <n v="5.25"/>
  </r>
  <r>
    <s v="C1140"/>
    <s v="Aarav Nair Systems"/>
    <x v="2"/>
    <x v="0"/>
    <s v="Chennai"/>
    <n v="12"/>
    <s v="2024-07-15"/>
    <s v="Paid Ads"/>
    <s v="S5146"/>
    <x v="0"/>
    <s v="Monthly"/>
    <n v="6"/>
    <n v="278.60000000000002"/>
    <s v="2024-07-15"/>
    <s v="2024-10-25"/>
    <x v="0"/>
    <n v="9"/>
    <n v="3.75"/>
    <n v="7"/>
    <n v="5.2857142857142856"/>
  </r>
  <r>
    <s v="C1141"/>
    <s v="Ananya Joshi Industries"/>
    <x v="1"/>
    <x v="3"/>
    <s v="Austin"/>
    <n v="400"/>
    <s v="2023-02-25"/>
    <s v="Organic Search"/>
    <s v="S5147"/>
    <x v="0"/>
    <s v="Annual"/>
    <n v="6"/>
    <n v="278.60000000000002"/>
    <s v="2023-02-25"/>
    <m/>
    <x v="1"/>
    <n v="5.9130434782608692"/>
    <n v="3.0869565217391299"/>
    <n v="4"/>
    <n v="4"/>
  </r>
  <r>
    <s v="C1142"/>
    <s v="Kavya Reddy Technologies"/>
    <x v="5"/>
    <x v="3"/>
    <s v="Austin"/>
    <n v="400"/>
    <s v="2023-03-03"/>
    <s v="Partner"/>
    <s v="S5148"/>
    <x v="0"/>
    <s v="Monthly"/>
    <n v="9"/>
    <n v="326.36"/>
    <s v="2023-03-03"/>
    <m/>
    <x v="1"/>
    <n v="12.27272727272727"/>
    <n v="6.8636363636363633"/>
    <n v="4"/>
    <n v="6.75"/>
  </r>
  <r>
    <s v="C1143"/>
    <s v="Reyansh Menon Solutions"/>
    <x v="2"/>
    <x v="4"/>
    <s v="Singapore"/>
    <n v="35"/>
    <s v="2023-02-20"/>
    <s v="Unknown"/>
    <s v="S5149"/>
    <x v="1"/>
    <s v="Monthly"/>
    <n v="11"/>
    <n v="88.2"/>
    <s v="2023-02-20"/>
    <s v="2024-05-24"/>
    <x v="0"/>
    <n v="6.125"/>
    <n v="3.25"/>
    <n v="4"/>
    <n v="4.5"/>
  </r>
  <r>
    <s v="C1144"/>
    <s v="Aditya Sharma Technologies"/>
    <x v="7"/>
    <x v="1"/>
    <s v="London"/>
    <n v="80"/>
    <s v="2024-01-15"/>
    <s v="Referral"/>
    <s v="S5150"/>
    <x v="3"/>
    <s v="Annual"/>
    <n v="11"/>
    <n v="2698.2"/>
    <s v="2024-01-15"/>
    <m/>
    <x v="1"/>
    <n v="18"/>
    <n v="10.91666666666667"/>
    <n v="3"/>
    <n v="5"/>
  </r>
  <r>
    <s v="C1145"/>
    <s v="Pooja Reddy Solutions"/>
    <x v="3"/>
    <x v="0"/>
    <s v="Hyderabad"/>
    <n v="35"/>
    <s v="2023-03-28"/>
    <s v="Outbound"/>
    <s v="S5151"/>
    <x v="1"/>
    <s v="Annual"/>
    <n v="6"/>
    <n v="68.599999999999994"/>
    <s v="2023-03-28"/>
    <m/>
    <x v="1"/>
    <n v="14.22727272727273"/>
    <n v="7.6818181818181817"/>
    <n v="5"/>
    <n v="5"/>
  </r>
  <r>
    <s v="C1146"/>
    <s v="Priya Iyer Technologies"/>
    <x v="6"/>
    <x v="0"/>
    <s v="Pune"/>
    <n v="150"/>
    <s v="2023-01-16"/>
    <s v="Referral"/>
    <s v="S5152"/>
    <x v="0"/>
    <s v="Monthly"/>
    <n v="7"/>
    <n v="294.52"/>
    <s v="2023-01-16"/>
    <m/>
    <x v="1"/>
    <n v="5.5"/>
    <n v="2.833333333333333"/>
    <n v="2"/>
    <n v="3.5"/>
  </r>
  <r>
    <s v="C1147"/>
    <s v="Vivaan Khan Technologies"/>
    <x v="4"/>
    <x v="0"/>
    <s v="Bengaluru"/>
    <n v="80"/>
    <s v="2023-11-07"/>
    <s v="Organic Search"/>
    <s v="S5153"/>
    <x v="0"/>
    <s v="Monthly"/>
    <n v="5"/>
    <n v="262.68"/>
    <s v="2023-11-07"/>
    <m/>
    <x v="1"/>
    <n v="12.357142857142859"/>
    <n v="6.0714285714285712"/>
    <n v="2"/>
    <n v="4.5"/>
  </r>
  <r>
    <s v="C1148"/>
    <s v="Divya Bose Solutions"/>
    <x v="5"/>
    <x v="0"/>
    <s v="Chennai"/>
    <n v="80"/>
    <s v="2024-09-04"/>
    <s v="Unknown"/>
    <s v="S5154"/>
    <x v="2"/>
    <s v="Annual"/>
    <n v="8"/>
    <n v="778.44"/>
    <s v="2024-09-04"/>
    <m/>
    <x v="1"/>
    <n v="4.5"/>
    <n v="1.75"/>
    <n v="1"/>
    <n v="3"/>
  </r>
  <r>
    <s v="C1149"/>
    <s v="Vivaan Verma Technologies"/>
    <x v="3"/>
    <x v="1"/>
    <s v="London"/>
    <n v="35"/>
    <s v="2023-04-23"/>
    <s v="Paid Ads"/>
    <s v="S5155"/>
    <x v="3"/>
    <s v="Monthly"/>
    <n v="5"/>
    <n v="1978.68"/>
    <s v="2023-04-23"/>
    <m/>
    <x v="1"/>
    <n v="3.3809523809523809"/>
    <n v="1.857142857142857"/>
    <n v="5"/>
    <n v="5"/>
  </r>
  <r>
    <s v="C1150"/>
    <s v="Rahul Singh Technologies"/>
    <x v="5"/>
    <x v="0"/>
    <s v="Hyderabad"/>
    <n v="35"/>
    <s v="2025-01-14"/>
    <s v="Outbound"/>
    <s v="S5156"/>
    <x v="2"/>
    <s v="Monthly"/>
    <n v="3"/>
    <n v="578.84"/>
    <s v="2025-01-14"/>
    <s v="2026-07-03"/>
    <x v="0"/>
    <m/>
    <m/>
    <n v="3"/>
    <n v="5"/>
  </r>
  <r>
    <s v="C1151"/>
    <s v="Aman Gupta Solutions"/>
    <x v="4"/>
    <x v="0"/>
    <s v="Chennai"/>
    <n v="12"/>
    <s v="2023-07-20"/>
    <s v="Paid Ads"/>
    <s v="S5157"/>
    <x v="2"/>
    <s v="Monthly"/>
    <n v="8"/>
    <n v="778.44"/>
    <s v="2023-07-20"/>
    <s v="2024-11-19"/>
    <x v="0"/>
    <n v="7.7647058823529411"/>
    <n v="4.5294117647058822"/>
    <n v="1"/>
    <n v="2"/>
  </r>
  <r>
    <s v="C1152"/>
    <s v="Nikita Verma Technologies"/>
    <x v="1"/>
    <x v="3"/>
    <s v="Austin"/>
    <n v="80"/>
    <s v="2024-08-03"/>
    <s v="Organic Search"/>
    <s v="S5158"/>
    <x v="0"/>
    <s v="Annual"/>
    <n v="7"/>
    <n v="294.52"/>
    <s v="2024-08-03"/>
    <s v="2025-05-27"/>
    <x v="0"/>
    <n v="3.8"/>
    <n v="1.4"/>
    <n v="5"/>
    <n v="5.2"/>
  </r>
  <r>
    <s v="C1153"/>
    <s v="Aadhya Patel Solutions"/>
    <x v="7"/>
    <x v="0"/>
    <s v="Pune"/>
    <n v="80"/>
    <s v="2024-08-10"/>
    <s v="Paid Ads"/>
    <s v="S5159"/>
    <x v="2"/>
    <s v="Annual"/>
    <n v="4"/>
    <n v="618.76"/>
    <s v="2024-08-10"/>
    <m/>
    <x v="1"/>
    <n v="6"/>
    <n v="2.2000000000000002"/>
    <n v="1"/>
    <n v="8"/>
  </r>
  <r>
    <s v="C1154"/>
    <s v="Kiara Das Group"/>
    <x v="0"/>
    <x v="0"/>
    <s v="Pune"/>
    <n v="80"/>
    <s v="2024-10-29"/>
    <s v="Organic Search"/>
    <s v="S5160"/>
    <x v="1"/>
    <s v="Monthly"/>
    <n v="5"/>
    <n v="64.680000000000007"/>
    <s v="2024-10-29"/>
    <s v="2025-03-16"/>
    <x v="0"/>
    <n v="2.666666666666667"/>
    <n v="1.333333333333333"/>
    <n v="1"/>
    <n v="6"/>
  </r>
  <r>
    <s v="C1154"/>
    <s v="Kiara Das Group"/>
    <x v="0"/>
    <x v="0"/>
    <s v="Pune"/>
    <n v="80"/>
    <s v="2024-10-29"/>
    <s v="Organic Search"/>
    <s v="S5161"/>
    <x v="2"/>
    <s v="Annual"/>
    <n v="5"/>
    <n v="658.68"/>
    <s v="2025-04-12"/>
    <s v="2025-10-20"/>
    <x v="0"/>
    <n v="2.666666666666667"/>
    <n v="1.333333333333333"/>
    <n v="1"/>
    <n v="6"/>
  </r>
  <r>
    <s v="C1155"/>
    <s v="Naveen Verma Technologies"/>
    <x v="4"/>
    <x v="0"/>
    <s v="Bengaluru"/>
    <n v="12"/>
    <s v="2023-09-30"/>
    <s v="Referral"/>
    <s v="S5162"/>
    <x v="3"/>
    <s v="Monthly"/>
    <n v="6"/>
    <n v="2098.6"/>
    <s v="2023-09-30"/>
    <m/>
    <x v="1"/>
    <n v="6.0625"/>
    <n v="2.875"/>
    <n v="3"/>
    <n v="6.666666666666667"/>
  </r>
  <r>
    <s v="C1156"/>
    <s v="Diya Sharma Technologies"/>
    <x v="2"/>
    <x v="0"/>
    <s v="Chennai"/>
    <n v="80"/>
    <s v="2024-03-16"/>
    <s v="Organic Search"/>
    <s v="S5163"/>
    <x v="3"/>
    <s v="Monthly"/>
    <n v="7"/>
    <n v="2218.52"/>
    <s v="2024-03-16"/>
    <m/>
    <x v="1"/>
    <n v="8.5"/>
    <n v="4.5999999999999996"/>
    <n v="2"/>
    <n v="6.5"/>
  </r>
  <r>
    <s v="C1157"/>
    <s v="Meera Joshi Solutions"/>
    <x v="3"/>
    <x v="4"/>
    <s v="Singapore"/>
    <n v="150"/>
    <s v="2024-02-24"/>
    <s v="Paid Ads"/>
    <s v="S5164"/>
    <x v="0"/>
    <s v="Annual"/>
    <n v="3"/>
    <n v="230.84"/>
    <s v="2024-02-24"/>
    <m/>
    <x v="1"/>
    <n v="6.9090909090909092"/>
    <n v="3.545454545454545"/>
    <n v="6"/>
    <n v="5.166666666666667"/>
  </r>
  <r>
    <s v="C1158"/>
    <s v="Farhan Nair Labs"/>
    <x v="5"/>
    <x v="0"/>
    <s v="Mumbai"/>
    <n v="3000"/>
    <s v="2023-03-21"/>
    <s v="Organic Search"/>
    <s v="S5165"/>
    <x v="1"/>
    <s v="Monthly"/>
    <n v="10"/>
    <n v="84.28"/>
    <s v="2023-03-21"/>
    <m/>
    <x v="1"/>
    <n v="9.1363636363636367"/>
    <n v="4.4090909090909092"/>
    <n v="3"/>
    <n v="5.666666666666667"/>
  </r>
  <r>
    <s v="C1159"/>
    <s v="Deepak Bose Systems"/>
    <x v="5"/>
    <x v="1"/>
    <s v="London"/>
    <n v="400"/>
    <s v="2024-09-02"/>
    <s v="Organic Search"/>
    <s v="S5166"/>
    <x v="1"/>
    <s v="Monthly"/>
    <n v="9"/>
    <n v="80.36"/>
    <s v="2024-09-02"/>
    <m/>
    <x v="1"/>
    <n v="12.5"/>
    <n v="6.5"/>
    <n v="6"/>
    <n v="5.333333333333333"/>
  </r>
  <r>
    <s v="C1160"/>
    <s v="Ishaan Singh Group"/>
    <x v="5"/>
    <x v="3"/>
    <s v="Boston"/>
    <n v="1200"/>
    <s v="2024-12-11"/>
    <s v="Organic Search"/>
    <s v="S5167"/>
    <x v="1"/>
    <s v="Monthly"/>
    <n v="6"/>
    <n v="68.599999999999994"/>
    <s v="2024-12-11"/>
    <m/>
    <x v="1"/>
    <n v="10"/>
    <n v="4"/>
    <n v="4"/>
    <n v="5"/>
  </r>
  <r>
    <s v="C1161"/>
    <s v="Sneha Das Systems"/>
    <x v="6"/>
    <x v="2"/>
    <s v="Dubai"/>
    <n v="150"/>
    <s v="2024-05-18"/>
    <s v="Paid Ads"/>
    <s v="S5168"/>
    <x v="0"/>
    <s v="Monthly"/>
    <n v="4"/>
    <n v="246.76"/>
    <s v="2024-05-18"/>
    <m/>
    <x v="1"/>
    <n v="2.75"/>
    <n v="1.125"/>
    <n v="3"/>
    <n v="4"/>
  </r>
  <r>
    <s v="C1162"/>
    <s v="Divya Nair Technologies"/>
    <x v="3"/>
    <x v="0"/>
    <s v="Hyderabad"/>
    <n v="150"/>
    <s v="2024-09-08"/>
    <s v="Outbound"/>
    <s v="S5169"/>
    <x v="3"/>
    <s v="Monthly"/>
    <n v="6"/>
    <n v="2098.6"/>
    <s v="2024-09-08"/>
    <s v="2025-09-18"/>
    <x v="0"/>
    <n v="6.5"/>
    <n v="3.5"/>
    <n v="3"/>
    <n v="5.666666666666667"/>
  </r>
  <r>
    <s v="C1163"/>
    <s v="Meera Menon Industries"/>
    <x v="7"/>
    <x v="0"/>
    <s v="Bengaluru"/>
    <n v="35"/>
    <s v="2023-09-03"/>
    <s v="Paid Ads"/>
    <s v="S5170"/>
    <x v="0"/>
    <s v="Monthly"/>
    <n v="6"/>
    <n v="278.60000000000002"/>
    <s v="2023-09-03"/>
    <m/>
    <x v="1"/>
    <n v="5.5625"/>
    <n v="2.8125"/>
    <n v="3"/>
    <n v="4"/>
  </r>
  <r>
    <s v="C1164"/>
    <s v="Saanvi Menon Systems"/>
    <x v="6"/>
    <x v="0"/>
    <s v="Pune"/>
    <n v="150"/>
    <s v="2023-10-06"/>
    <s v="Events"/>
    <s v="S5171"/>
    <x v="1"/>
    <s v="Monthly"/>
    <n v="9"/>
    <n v="80.36"/>
    <s v="2023-10-06"/>
    <m/>
    <x v="1"/>
    <n v="17"/>
    <n v="9.2666666666666675"/>
    <n v="3"/>
    <n v="4.666666666666667"/>
  </r>
  <r>
    <s v="C1165"/>
    <s v="Arjun Das Solutions"/>
    <x v="3"/>
    <x v="0"/>
    <s v="Bengaluru"/>
    <n v="80"/>
    <s v="2024-03-12"/>
    <s v="Partner"/>
    <s v="S5172"/>
    <x v="1"/>
    <s v="Annual"/>
    <n v="7"/>
    <n v="72.52"/>
    <s v="2024-03-12"/>
    <m/>
    <x v="1"/>
    <n v="15.3"/>
    <n v="9.3000000000000007"/>
    <n v="5"/>
    <n v="5.4"/>
  </r>
  <r>
    <s v="C1166"/>
    <s v="Deepak Joshi Industries"/>
    <x v="5"/>
    <x v="0"/>
    <s v="Bengaluru"/>
    <n v="80"/>
    <s v="2024-08-30"/>
    <s v="Paid Ads"/>
    <s v="S5173"/>
    <x v="3"/>
    <s v="Monthly"/>
    <n v="8"/>
    <n v="2338.44"/>
    <s v="2024-08-30"/>
    <m/>
    <x v="1"/>
    <n v="6.2"/>
    <n v="4.2"/>
    <n v="3"/>
    <n v="4"/>
  </r>
  <r>
    <s v="C1167"/>
    <s v="Aarav Patel Labs"/>
    <x v="7"/>
    <x v="4"/>
    <s v="Singapore"/>
    <n v="3000"/>
    <s v="2023-04-19"/>
    <s v="Paid Ads"/>
    <s v="S5174"/>
    <x v="0"/>
    <s v="Monthly"/>
    <n v="6"/>
    <n v="278.60000000000002"/>
    <s v="2023-04-19"/>
    <m/>
    <x v="1"/>
    <n v="3.1428571428571428"/>
    <n v="1.2380952380952379"/>
    <n v="4"/>
    <n v="6.75"/>
  </r>
  <r>
    <s v="C1168"/>
    <s v="Aditya Joshi Solutions"/>
    <x v="1"/>
    <x v="3"/>
    <s v="Seattle"/>
    <n v="80"/>
    <s v="2023-10-30"/>
    <s v="Referral"/>
    <s v="S5175"/>
    <x v="1"/>
    <s v="Annual"/>
    <n v="3"/>
    <n v="56.84"/>
    <s v="2023-10-30"/>
    <m/>
    <x v="1"/>
    <n v="21.2"/>
    <n v="10.93333333333333"/>
    <n v="2"/>
    <n v="6.5"/>
  </r>
  <r>
    <s v="C1169"/>
    <s v="Reyansh Menon Solutions"/>
    <x v="4"/>
    <x v="1"/>
    <s v="Manchester"/>
    <n v="400"/>
    <s v="2024-09-01"/>
    <s v="Organic Search"/>
    <s v="S5176"/>
    <x v="2"/>
    <s v="Monthly"/>
    <n v="5"/>
    <n v="658.68"/>
    <s v="2024-09-01"/>
    <m/>
    <x v="1"/>
    <n v="4"/>
    <n v="1.75"/>
    <n v="3"/>
    <n v="9.3333333333333339"/>
  </r>
  <r>
    <s v="C1170"/>
    <s v="Diya Verma Industries"/>
    <x v="1"/>
    <x v="0"/>
    <s v="Mumbai"/>
    <n v="80"/>
    <s v="2023-12-28"/>
    <s v="Referral"/>
    <s v="S5177"/>
    <x v="1"/>
    <s v="Monthly"/>
    <n v="8"/>
    <n v="76.44"/>
    <s v="2023-12-28"/>
    <s v="2024-05-28"/>
    <x v="0"/>
    <n v="12.33333333333333"/>
    <n v="7.666666666666667"/>
    <n v="2"/>
    <n v="4.5"/>
  </r>
  <r>
    <s v="C1171"/>
    <s v="Aditya Khan Industries"/>
    <x v="2"/>
    <x v="3"/>
    <s v="Austin"/>
    <n v="35"/>
    <s v="2023-11-04"/>
    <s v="Referral"/>
    <s v="S5178"/>
    <x v="0"/>
    <s v="Monthly"/>
    <n v="8"/>
    <n v="294.52"/>
    <s v="2023-11-04"/>
    <m/>
    <x v="1"/>
    <n v="19.285714285714281"/>
    <n v="9.6428571428571423"/>
    <m/>
    <m/>
  </r>
  <r>
    <s v="C1172"/>
    <s v="Reyansh Menon Industries"/>
    <x v="6"/>
    <x v="4"/>
    <s v="Singapore"/>
    <n v="400"/>
    <s v="2024-11-08"/>
    <s v="Referral"/>
    <s v="S5179"/>
    <x v="2"/>
    <s v="Monthly"/>
    <n v="9"/>
    <n v="818.36"/>
    <s v="2024-11-08"/>
    <s v="2025-01-09"/>
    <x v="0"/>
    <n v="11.5"/>
    <n v="5"/>
    <m/>
    <m/>
  </r>
  <r>
    <s v="C1173"/>
    <s v="Kiara Bose Labs"/>
    <x v="1"/>
    <x v="0"/>
    <s v="Delhi"/>
    <n v="12"/>
    <s v="2024-09-03"/>
    <s v="Events"/>
    <s v="S5180"/>
    <x v="1"/>
    <s v="Monthly"/>
    <n v="8"/>
    <n v="76.44"/>
    <s v="2024-09-03"/>
    <s v="2025-08-05"/>
    <x v="0"/>
    <n v="8.75"/>
    <n v="5"/>
    <n v="1"/>
    <n v="5"/>
  </r>
  <r>
    <s v="C1174"/>
    <s v="Vivaan Verma Systems"/>
    <x v="2"/>
    <x v="0"/>
    <s v="Bengaluru"/>
    <n v="80"/>
    <s v="2024-08-29"/>
    <s v="Partner"/>
    <s v="S5181"/>
    <x v="0"/>
    <s v="Monthly"/>
    <n v="3"/>
    <n v="230.84"/>
    <s v="2024-08-29"/>
    <m/>
    <x v="1"/>
    <n v="12.6"/>
    <n v="5.6"/>
    <n v="6"/>
    <n v="6"/>
  </r>
  <r>
    <s v="C1175"/>
    <s v="Pooja Bose Solutions"/>
    <x v="3"/>
    <x v="0"/>
    <s v="Delhi"/>
    <n v="12"/>
    <s v="2023-05-31"/>
    <s v="Organic Search"/>
    <s v="S5182"/>
    <x v="1"/>
    <s v="Monthly"/>
    <n v="3"/>
    <n v="56.84"/>
    <s v="2023-05-31"/>
    <m/>
    <x v="1"/>
    <n v="5.15"/>
    <n v="2.35"/>
    <n v="7"/>
    <n v="5.7142857142857144"/>
  </r>
  <r>
    <s v="C1176"/>
    <s v="Sneha Khan Technologies"/>
    <x v="5"/>
    <x v="2"/>
    <s v="Abu Dhabi"/>
    <n v="12"/>
    <s v="2024-08-26"/>
    <s v="Organic Search"/>
    <s v="S5183"/>
    <x v="1"/>
    <s v="Monthly"/>
    <n v="7"/>
    <n v="72.52"/>
    <s v="2024-08-26"/>
    <s v="2025-02-22"/>
    <x v="0"/>
    <n v="12"/>
    <n v="5.8"/>
    <n v="5"/>
    <n v="4.8"/>
  </r>
  <r>
    <s v="C1177"/>
    <s v="Isha Gupta Group"/>
    <x v="7"/>
    <x v="3"/>
    <s v="Seattle"/>
    <n v="12"/>
    <s v="2023-11-13"/>
    <s v="Organic Search"/>
    <s v="S5184"/>
    <x v="1"/>
    <s v="Monthly"/>
    <n v="7"/>
    <n v="72.52"/>
    <s v="2023-11-13"/>
    <m/>
    <x v="1"/>
    <n v="17.5"/>
    <n v="11.142857142857141"/>
    <n v="5"/>
    <n v="5.2"/>
  </r>
  <r>
    <s v="C1178"/>
    <s v="Isha Menon Solutions"/>
    <x v="2"/>
    <x v="0"/>
    <s v="Mumbai"/>
    <n v="12"/>
    <s v="2023-06-30"/>
    <s v="Partner"/>
    <s v="S5185"/>
    <x v="0"/>
    <s v="Monthly"/>
    <n v="9"/>
    <n v="326.36"/>
    <s v="2023-06-30"/>
    <m/>
    <x v="1"/>
    <n v="18.94736842105263"/>
    <n v="10.789473684210529"/>
    <n v="2"/>
    <n v="4.5"/>
  </r>
  <r>
    <s v="C1179"/>
    <s v="Sneha Iyer Solutions"/>
    <x v="7"/>
    <x v="3"/>
    <s v="Boston"/>
    <n v="12"/>
    <s v="2023-08-13"/>
    <s v="Paid Ads"/>
    <s v="S5186"/>
    <x v="1"/>
    <s v="Annual"/>
    <n v="4"/>
    <n v="60.76"/>
    <s v="2023-08-13"/>
    <s v="2024-02-02"/>
    <x v="0"/>
    <n v="4.2857142857142856"/>
    <n v="2"/>
    <n v="3"/>
    <n v="5"/>
  </r>
  <r>
    <s v="C1180"/>
    <s v="Rahul Menon Labs"/>
    <x v="2"/>
    <x v="2"/>
    <s v="Dubai"/>
    <n v="80"/>
    <s v="2023-08-14"/>
    <s v="Organic Search"/>
    <s v="S5187"/>
    <x v="1"/>
    <s v="Annual"/>
    <n v="6"/>
    <n v="68.599999999999994"/>
    <s v="2023-08-14"/>
    <s v="2024-06-05"/>
    <x v="0"/>
    <n v="12.90909090909091"/>
    <n v="8.545454545454545"/>
    <n v="1"/>
    <n v="1"/>
  </r>
  <r>
    <s v="C1181"/>
    <s v="Isha Reddy Labs"/>
    <x v="6"/>
    <x v="1"/>
    <s v="London"/>
    <n v="150"/>
    <s v="2024-09-28"/>
    <s v="Partner"/>
    <s v="S5188"/>
    <x v="0"/>
    <s v="Annual"/>
    <n v="3"/>
    <n v="230.84"/>
    <s v="2024-09-28"/>
    <s v="2024-12-14"/>
    <x v="0"/>
    <n v="16.25"/>
    <n v="8.5"/>
    <n v="2"/>
    <n v="4.5"/>
  </r>
  <r>
    <s v="C1182"/>
    <s v="Arun Menon Labs"/>
    <x v="1"/>
    <x v="0"/>
    <s v="Bengaluru"/>
    <n v="1200"/>
    <s v="2023-09-21"/>
    <s v="Organic Search"/>
    <s v="S5189"/>
    <x v="3"/>
    <s v="Monthly"/>
    <n v="5"/>
    <n v="1978.68"/>
    <s v="2023-09-21"/>
    <s v="2025-02-13"/>
    <x v="0"/>
    <n v="2.3125"/>
    <n v="0.875"/>
    <n v="4"/>
    <n v="3.75"/>
  </r>
  <r>
    <s v="C1183"/>
    <s v="Sanjay Gupta Labs"/>
    <x v="4"/>
    <x v="3"/>
    <s v="Austin"/>
    <n v="400"/>
    <s v="2024-04-03"/>
    <s v="Paid Ads"/>
    <s v="S5190"/>
    <x v="0"/>
    <s v="Monthly"/>
    <n v="9"/>
    <n v="326.36"/>
    <s v="2024-04-03"/>
    <s v="2025-07-20"/>
    <x v="0"/>
    <n v="5.7777777777777777"/>
    <n v="2.8888888888888888"/>
    <n v="3"/>
    <n v="6"/>
  </r>
  <r>
    <s v="C1183"/>
    <s v="Sanjay Gupta Labs"/>
    <x v="4"/>
    <x v="3"/>
    <s v="Austin"/>
    <n v="400"/>
    <s v="2024-04-03"/>
    <s v="Paid Ads"/>
    <s v="S5191"/>
    <x v="1"/>
    <s v="Monthly"/>
    <n v="8"/>
    <n v="76.44"/>
    <s v="2025-10-15"/>
    <s v="2026-04-28"/>
    <x v="0"/>
    <n v="5.7777777777777777"/>
    <n v="2.8888888888888888"/>
    <n v="3"/>
    <n v="6"/>
  </r>
  <r>
    <s v="C1184"/>
    <s v="Meera Verma Group"/>
    <x v="4"/>
    <x v="3"/>
    <s v="Boston"/>
    <n v="80"/>
    <s v="2023-04-15"/>
    <s v="Organic Search"/>
    <s v="S5192"/>
    <x v="2"/>
    <s v="Monthly"/>
    <n v="9"/>
    <n v="818.36"/>
    <s v="2023-04-15"/>
    <m/>
    <x v="1"/>
    <n v="9.1428571428571423"/>
    <n v="4.7142857142857144"/>
    <n v="2"/>
    <n v="3.5"/>
  </r>
  <r>
    <s v="C1185"/>
    <s v="Zoya Rao Labs"/>
    <x v="1"/>
    <x v="0"/>
    <s v="Mumbai"/>
    <n v="35"/>
    <s v="2024-08-23"/>
    <s v="Partner"/>
    <s v="S5193"/>
    <x v="0"/>
    <s v="Annual"/>
    <n v="7"/>
    <n v="294.52"/>
    <s v="2024-08-23"/>
    <s v="2025-12-10"/>
    <x v="0"/>
    <n v="10.6"/>
    <n v="5.4"/>
    <n v="3"/>
    <n v="6"/>
  </r>
  <r>
    <s v="C1186"/>
    <s v="Diya Rao Technologies"/>
    <x v="7"/>
    <x v="1"/>
    <s v="Manchester"/>
    <n v="80"/>
    <s v="2023-10-05"/>
    <s v="Paid Ads"/>
    <s v="S5194"/>
    <x v="2"/>
    <s v="Monthly"/>
    <n v="7"/>
    <n v="738.52"/>
    <s v="2023-10-05"/>
    <m/>
    <x v="1"/>
    <n v="6.9333333333333336"/>
    <n v="3.9333333333333331"/>
    <n v="3"/>
    <n v="6"/>
  </r>
  <r>
    <s v="C1187"/>
    <s v="Pooja Gupta Group"/>
    <x v="4"/>
    <x v="0"/>
    <s v="Mumbai"/>
    <n v="150"/>
    <s v="2024-03-20"/>
    <s v="Organic Search"/>
    <s v="S5195"/>
    <x v="2"/>
    <s v="Monthly"/>
    <n v="3"/>
    <n v="578.84"/>
    <s v="2024-03-20"/>
    <m/>
    <x v="1"/>
    <n v="20.9"/>
    <n v="12.2"/>
    <n v="2"/>
    <n v="5.5"/>
  </r>
  <r>
    <s v="C1188"/>
    <s v="Tara Rao Industries"/>
    <x v="6"/>
    <x v="0"/>
    <s v="Hyderabad"/>
    <n v="12"/>
    <s v="2023-07-21"/>
    <s v="Referral"/>
    <s v="S5196"/>
    <x v="2"/>
    <s v="Monthly"/>
    <n v="8"/>
    <n v="778.44"/>
    <s v="2023-07-21"/>
    <m/>
    <x v="1"/>
    <n v="21.611111111111111"/>
    <n v="13.611111111111111"/>
    <n v="4"/>
    <n v="5"/>
  </r>
  <r>
    <s v="C1189"/>
    <s v="Kiara Patel Group"/>
    <x v="7"/>
    <x v="0"/>
    <s v="Bengaluru"/>
    <n v="150"/>
    <s v="2024-08-26"/>
    <s v="Referral"/>
    <s v="S5197"/>
    <x v="0"/>
    <s v="Annual"/>
    <n v="8"/>
    <n v="310.44"/>
    <s v="2024-08-26"/>
    <s v="2026-01-26"/>
    <x v="0"/>
    <n v="3.8"/>
    <n v="1.8"/>
    <n v="1"/>
    <n v="3"/>
  </r>
  <r>
    <s v="C1190"/>
    <s v="Myra Joshi Solutions"/>
    <x v="2"/>
    <x v="1"/>
    <s v="Manchester"/>
    <n v="12"/>
    <s v="2023-02-14"/>
    <s v="Paid Ads"/>
    <s v="S5198"/>
    <x v="0"/>
    <s v="Monthly"/>
    <n v="10"/>
    <n v="342.28"/>
    <s v="2023-02-14"/>
    <m/>
    <x v="1"/>
    <n v="2.304347826086957"/>
    <n v="0.78260869565217395"/>
    <n v="1"/>
    <n v="9"/>
  </r>
  <r>
    <s v="C1191"/>
    <s v="Sai Patel Industries"/>
    <x v="6"/>
    <x v="2"/>
    <s v="Abu Dhabi"/>
    <n v="12"/>
    <s v="2023-12-31"/>
    <s v="Referral"/>
    <s v="S5199"/>
    <x v="1"/>
    <s v="Monthly"/>
    <n v="6"/>
    <n v="68.599999999999994"/>
    <s v="2023-12-31"/>
    <m/>
    <x v="1"/>
    <n v="18.92307692307692"/>
    <n v="10.07692307692308"/>
    <n v="2"/>
    <n v="6.5"/>
  </r>
  <r>
    <s v="C1192"/>
    <s v="Deepak Nair Technologies"/>
    <x v="7"/>
    <x v="1"/>
    <s v="Manchester"/>
    <n v="150"/>
    <s v="2023-07-05"/>
    <s v="Organic Search"/>
    <s v="S5200"/>
    <x v="1"/>
    <s v="Monthly"/>
    <n v="10"/>
    <n v="84.28"/>
    <s v="2023-07-05"/>
    <m/>
    <x v="1"/>
    <n v="3.4444444444444451"/>
    <n v="1.7777777777777779"/>
    <n v="4"/>
    <n v="5"/>
  </r>
  <r>
    <s v="C1193"/>
    <s v="Diya Menon Systems"/>
    <x v="0"/>
    <x v="3"/>
    <s v="Seattle"/>
    <n v="1200"/>
    <s v="2024-08-02"/>
    <s v="Paid Ads"/>
    <s v="S5201"/>
    <x v="0"/>
    <s v="Monthly"/>
    <n v="6"/>
    <n v="278.60000000000002"/>
    <s v="2024-08-02"/>
    <m/>
    <x v="1"/>
    <n v="3.6"/>
    <n v="2"/>
    <n v="2"/>
    <n v="5"/>
  </r>
  <r>
    <s v="C1194"/>
    <s v="Zoya Bose Group"/>
    <x v="2"/>
    <x v="2"/>
    <s v="Dubai"/>
    <n v="80"/>
    <s v="2024-03-19"/>
    <s v="Organic Search"/>
    <s v="S5202"/>
    <x v="3"/>
    <s v="Monthly"/>
    <n v="4"/>
    <n v="1858.76"/>
    <s v="2024-03-19"/>
    <s v="2025-08-13"/>
    <x v="0"/>
    <n v="10.5"/>
    <n v="6.2"/>
    <n v="5"/>
    <n v="5.2"/>
  </r>
  <r>
    <s v="C1194"/>
    <s v="Zoya Bose Group"/>
    <x v="2"/>
    <x v="2"/>
    <s v="Dubai"/>
    <n v="80"/>
    <s v="2024-03-19"/>
    <s v="Organic Search"/>
    <s v="S5203"/>
    <x v="3"/>
    <s v="Annual"/>
    <n v="6"/>
    <n v="2098.6"/>
    <s v="2025-09-23"/>
    <s v="2025-12-16"/>
    <x v="0"/>
    <n v="10.5"/>
    <n v="6.2"/>
    <n v="5"/>
    <n v="5.2"/>
  </r>
  <r>
    <s v="C1195"/>
    <s v="Aman Gupta Labs"/>
    <x v="1"/>
    <x v="2"/>
    <s v="Abu Dhabi"/>
    <n v="80"/>
    <s v="2023-05-03"/>
    <s v="Referral"/>
    <s v="S5204"/>
    <x v="3"/>
    <s v="Annual"/>
    <n v="10"/>
    <n v="2578.2800000000002"/>
    <s v="2023-05-03"/>
    <m/>
    <x v="1"/>
    <n v="11.2"/>
    <n v="6"/>
    <n v="5"/>
    <n v="5.2"/>
  </r>
  <r>
    <s v="C1196"/>
    <s v="Ananya Singh Industries"/>
    <x v="1"/>
    <x v="0"/>
    <s v="Hyderabad"/>
    <n v="80"/>
    <s v="2023-03-16"/>
    <s v="Referral"/>
    <s v="S5205"/>
    <x v="1"/>
    <s v="Monthly"/>
    <n v="14"/>
    <n v="99.96"/>
    <s v="2023-03-16"/>
    <s v="2023-06-21"/>
    <x v="0"/>
    <n v="1.5"/>
    <n v="0.5"/>
    <n v="3"/>
    <n v="7.333333333333333"/>
  </r>
  <r>
    <s v="C1197"/>
    <s v="Sanjay Menon Industries"/>
    <x v="5"/>
    <x v="4"/>
    <s v="Singapore"/>
    <n v="35"/>
    <s v="2024-04-28"/>
    <s v="Referral"/>
    <s v="S5206"/>
    <x v="1"/>
    <s v="Annual"/>
    <n v="11"/>
    <n v="88.2"/>
    <s v="2024-04-28"/>
    <m/>
    <x v="1"/>
    <n v="9.5555555555555554"/>
    <n v="5.4444444444444446"/>
    <n v="6"/>
    <n v="5.333333333333333"/>
  </r>
  <r>
    <s v="C1198"/>
    <s v="Ananya Sharma Labs"/>
    <x v="1"/>
    <x v="0"/>
    <s v="Hyderabad"/>
    <n v="12"/>
    <s v="2023-04-26"/>
    <s v="Paid Ads"/>
    <s v="S5207"/>
    <x v="3"/>
    <s v="Monthly"/>
    <n v="7"/>
    <n v="2218.52"/>
    <s v="2023-04-26"/>
    <m/>
    <x v="1"/>
    <n v="17.952380952380949"/>
    <n v="8.5238095238095237"/>
    <n v="6"/>
    <n v="6.5"/>
  </r>
  <r>
    <s v="C1199"/>
    <s v="Aman Singh Labs"/>
    <x v="5"/>
    <x v="0"/>
    <s v="Pune"/>
    <n v="80"/>
    <s v="2024-08-05"/>
    <s v="Paid Ads"/>
    <s v="S5208"/>
    <x v="0"/>
    <s v="Annual"/>
    <n v="6"/>
    <n v="278.60000000000002"/>
    <s v="2024-08-05"/>
    <m/>
    <x v="1"/>
    <n v="2.4"/>
    <n v="1"/>
    <n v="1"/>
    <n v="5"/>
  </r>
  <r>
    <s v="C1200"/>
    <s v="Kavya Rao Industries"/>
    <x v="7"/>
    <x v="0"/>
    <s v="Delhi"/>
    <n v="80"/>
    <s v="2024-11-10"/>
    <s v="Partner"/>
    <s v="S5209"/>
    <x v="1"/>
    <s v="Annual"/>
    <n v="4"/>
    <n v="60.76"/>
    <s v="2024-11-10"/>
    <m/>
    <x v="1"/>
    <n v="10.5"/>
    <n v="3.5"/>
    <n v="3"/>
    <n v="4.666666666666667"/>
  </r>
  <r>
    <s v="C1201"/>
    <s v="Naveen Patel Labs"/>
    <x v="4"/>
    <x v="0"/>
    <s v="Delhi"/>
    <n v="400"/>
    <s v="2024-12-07"/>
    <s v="Organic Search"/>
    <s v="S5210"/>
    <x v="3"/>
    <s v="Monthly"/>
    <n v="4"/>
    <n v="1858.76"/>
    <s v="2024-12-07"/>
    <m/>
    <x v="1"/>
    <n v="20"/>
    <n v="9"/>
    <n v="4"/>
    <n v="5.5"/>
  </r>
  <r>
    <s v="C1202"/>
    <s v="Karthik Iyer Labs"/>
    <x v="1"/>
    <x v="0"/>
    <s v="Pune"/>
    <n v="35"/>
    <s v="2024-12-06"/>
    <s v="Organic Search"/>
    <s v="S5211"/>
    <x v="2"/>
    <s v="Annual"/>
    <n v="9"/>
    <n v="818.36"/>
    <s v="2024-12-06"/>
    <s v="2025-07-07"/>
    <x v="0"/>
    <n v="18"/>
    <n v="6"/>
    <n v="1"/>
    <n v="5"/>
  </r>
  <r>
    <s v="C1202"/>
    <s v="Karthik Iyer Labs"/>
    <x v="1"/>
    <x v="0"/>
    <s v="Pune"/>
    <n v="35"/>
    <s v="2024-12-06"/>
    <s v="Organic Search"/>
    <s v="S5212"/>
    <x v="0"/>
    <s v="Monthly"/>
    <n v="7"/>
    <n v="294.52"/>
    <s v="2025-07-24"/>
    <s v="2026-09-05"/>
    <x v="0"/>
    <n v="18"/>
    <n v="6"/>
    <n v="1"/>
    <n v="5"/>
  </r>
  <r>
    <s v="C1203"/>
    <s v="Saanvi Reddy Industries"/>
    <x v="5"/>
    <x v="3"/>
    <s v="Seattle"/>
    <n v="1200"/>
    <s v="2024-10-24"/>
    <s v="Organic Search"/>
    <s v="S5213"/>
    <x v="2"/>
    <s v="Monthly"/>
    <n v="10"/>
    <n v="858.28"/>
    <s v="2024-10-24"/>
    <m/>
    <x v="1"/>
    <n v="12"/>
    <n v="7.333333333333333"/>
    <n v="2"/>
    <n v="7"/>
  </r>
  <r>
    <s v="C1204"/>
    <s v="Aman Reddy Systems"/>
    <x v="4"/>
    <x v="0"/>
    <s v="Bengaluru"/>
    <n v="12"/>
    <s v="2023-02-19"/>
    <s v="Paid Ads"/>
    <s v="S5214"/>
    <x v="3"/>
    <s v="Monthly"/>
    <n v="8"/>
    <n v="2338.44"/>
    <s v="2023-02-19"/>
    <m/>
    <x v="1"/>
    <n v="14.47826086956522"/>
    <n v="8.7826086956521738"/>
    <n v="3"/>
    <n v="5.666666666666667"/>
  </r>
  <r>
    <s v="C1205"/>
    <s v="Isha Joshi Labs"/>
    <x v="6"/>
    <x v="3"/>
    <s v="Seattle"/>
    <n v="1200"/>
    <s v="2023-11-16"/>
    <s v="Paid Ads"/>
    <s v="S5215"/>
    <x v="2"/>
    <s v="Monthly"/>
    <n v="8"/>
    <n v="778.44"/>
    <s v="2023-11-16"/>
    <s v="2024-10-22"/>
    <x v="0"/>
    <n v="7.25"/>
    <n v="3.916666666666667"/>
    <n v="1"/>
    <n v="6"/>
  </r>
  <r>
    <s v="C1206"/>
    <s v="Zoya Gupta Group"/>
    <x v="3"/>
    <x v="0"/>
    <s v="Bengaluru"/>
    <n v="400"/>
    <s v="2023-04-29"/>
    <s v="Paid Ads"/>
    <s v="S5216"/>
    <x v="2"/>
    <s v="Annual"/>
    <n v="7"/>
    <n v="738.52"/>
    <s v="2023-04-29"/>
    <m/>
    <x v="1"/>
    <n v="16.61904761904762"/>
    <n v="9.4761904761904763"/>
    <n v="9"/>
    <n v="5.666666666666667"/>
  </r>
  <r>
    <s v="C1207"/>
    <s v="Sneha Gupta Technologies"/>
    <x v="4"/>
    <x v="4"/>
    <s v="Singapore"/>
    <n v="80"/>
    <s v="2023-04-17"/>
    <s v="Organic Search"/>
    <s v="S5217"/>
    <x v="0"/>
    <s v="Monthly"/>
    <n v="8"/>
    <n v="310.44"/>
    <s v="2023-04-17"/>
    <m/>
    <x v="1"/>
    <n v="17.761904761904759"/>
    <n v="8.8571428571428577"/>
    <n v="3"/>
    <n v="5"/>
  </r>
  <r>
    <s v="C1208"/>
    <s v="Deepak Das Group"/>
    <x v="6"/>
    <x v="0"/>
    <s v="Mumbai"/>
    <n v="150"/>
    <s v="2023-10-02"/>
    <s v="Organic Search"/>
    <s v="S5218"/>
    <x v="1"/>
    <s v="Monthly"/>
    <n v="4"/>
    <n v="60.76"/>
    <s v="2023-10-02"/>
    <s v="2024-09-03"/>
    <x v="0"/>
    <n v="1.75"/>
    <n v="1"/>
    <n v="2"/>
    <n v="5.5"/>
  </r>
  <r>
    <s v="C1209"/>
    <s v="Rahul Khan Systems"/>
    <x v="7"/>
    <x v="3"/>
    <s v="Seattle"/>
    <n v="12"/>
    <s v="2023-08-28"/>
    <s v="Organic Search"/>
    <s v="S5219"/>
    <x v="2"/>
    <s v="Annual"/>
    <n v="5"/>
    <n v="658.68"/>
    <s v="2023-08-28"/>
    <s v="2024-01-31"/>
    <x v="0"/>
    <n v="5"/>
    <n v="2.5"/>
    <n v="1"/>
    <n v="7"/>
  </r>
  <r>
    <s v="C1210"/>
    <s v="Deepak Patel Technologies"/>
    <x v="6"/>
    <x v="0"/>
    <s v="Delhi"/>
    <n v="1200"/>
    <s v="2023-12-29"/>
    <s v="Events"/>
    <s v="S5220"/>
    <x v="1"/>
    <s v="Annual"/>
    <n v="3"/>
    <n v="56.84"/>
    <s v="2023-12-29"/>
    <s v="2024-07-07"/>
    <x v="0"/>
    <n v="4.5"/>
    <n v="2.25"/>
    <n v="3"/>
    <n v="5"/>
  </r>
  <r>
    <s v="C1211"/>
    <s v="Krishna Iyer Solutions"/>
    <x v="2"/>
    <x v="0"/>
    <s v="Mumbai"/>
    <n v="1200"/>
    <s v="2024-10-13"/>
    <s v="Events"/>
    <s v="S5221"/>
    <x v="0"/>
    <s v="Annual"/>
    <n v="7"/>
    <n v="294.52"/>
    <s v="2024-10-13"/>
    <m/>
    <x v="1"/>
    <n v="17.333333333333329"/>
    <n v="8.3333333333333339"/>
    <n v="1"/>
    <n v="5"/>
  </r>
  <r>
    <s v="C1212"/>
    <s v="Sai Verma Solutions"/>
    <x v="2"/>
    <x v="0"/>
    <s v="Mumbai"/>
    <n v="80"/>
    <s v="2023-06-27"/>
    <s v="Events"/>
    <s v="S5222"/>
    <x v="2"/>
    <s v="Monthly"/>
    <n v="2"/>
    <n v="538.91999999999996"/>
    <s v="2023-06-27"/>
    <m/>
    <x v="1"/>
    <n v="9.7368421052631575"/>
    <n v="5.5789473684210522"/>
    <n v="4"/>
    <n v="7.5"/>
  </r>
  <r>
    <s v="C1213"/>
    <s v="Nikita Verma Labs"/>
    <x v="2"/>
    <x v="0"/>
    <s v="Delhi"/>
    <n v="12"/>
    <s v="2024-11-28"/>
    <s v="Events"/>
    <s v="S5223"/>
    <x v="0"/>
    <s v="Annual"/>
    <n v="2"/>
    <n v="214.92"/>
    <s v="2024-11-28"/>
    <m/>
    <x v="1"/>
    <n v="8.5"/>
    <n v="6.5"/>
    <n v="1"/>
    <n v="6"/>
  </r>
  <r>
    <s v="C1214"/>
    <s v="Sneha Sharma Technologies"/>
    <x v="3"/>
    <x v="0"/>
    <s v="Pune"/>
    <n v="80"/>
    <s v="2024-11-17"/>
    <s v="Outbound"/>
    <s v="S5224"/>
    <x v="0"/>
    <s v="Monthly"/>
    <n v="14"/>
    <n v="405.96"/>
    <s v="2024-11-17"/>
    <m/>
    <x v="1"/>
    <n v="15.5"/>
    <n v="9.5"/>
    <n v="6"/>
    <n v="6.166666666666667"/>
  </r>
  <r>
    <s v="C1215"/>
    <s v="Zoya Patel Solutions"/>
    <x v="6"/>
    <x v="1"/>
    <s v="Manchester"/>
    <n v="12"/>
    <s v="2024-08-28"/>
    <s v="Organic Search"/>
    <s v="S5225"/>
    <x v="1"/>
    <s v="Monthly"/>
    <n v="4"/>
    <n v="60.76"/>
    <s v="2024-08-28"/>
    <m/>
    <x v="1"/>
    <n v="3.6"/>
    <n v="1.2"/>
    <n v="5"/>
    <n v="5.2"/>
  </r>
  <r>
    <s v="C1216"/>
    <s v="Nikita Khan Systems"/>
    <x v="4"/>
    <x v="0"/>
    <s v="Chennai"/>
    <n v="150"/>
    <s v="2023-08-25"/>
    <s v="Paid Ads"/>
    <s v="S5226"/>
    <x v="1"/>
    <s v="Annual"/>
    <n v="8"/>
    <n v="76.44"/>
    <s v="2023-08-25"/>
    <m/>
    <x v="1"/>
    <n v="5.4705882352941178"/>
    <n v="2.8235294117647061"/>
    <n v="3"/>
    <n v="5.333333333333333"/>
  </r>
  <r>
    <s v="C1217"/>
    <s v="Sai Iyer Industries"/>
    <x v="3"/>
    <x v="0"/>
    <s v="Pune"/>
    <n v="35"/>
    <s v="2023-03-06"/>
    <s v="Paid Ads"/>
    <s v="S5227"/>
    <x v="3"/>
    <s v="Annual"/>
    <n v="4"/>
    <n v="1858.76"/>
    <s v="2023-03-06"/>
    <s v="2024-02-18"/>
    <x v="0"/>
    <n v="13.25"/>
    <n v="7.916666666666667"/>
    <n v="5"/>
    <n v="5.2"/>
  </r>
  <r>
    <s v="C1218"/>
    <s v="Reyansh Joshi Group"/>
    <x v="5"/>
    <x v="4"/>
    <s v="Singapore"/>
    <n v="12"/>
    <s v="2025-01-19"/>
    <s v="Paid Ads"/>
    <s v="S5228"/>
    <x v="1"/>
    <s v="Annual"/>
    <n v="10"/>
    <n v="84.28"/>
    <s v="2025-01-19"/>
    <m/>
    <x v="1"/>
    <m/>
    <m/>
    <n v="5"/>
    <n v="5.8"/>
  </r>
  <r>
    <s v="C1219"/>
    <s v="Tara Nair Group"/>
    <x v="6"/>
    <x v="0"/>
    <s v="Pune"/>
    <n v="12"/>
    <s v="2023-03-06"/>
    <s v="Organic Search"/>
    <s v="S5229"/>
    <x v="1"/>
    <s v="Annual"/>
    <n v="10"/>
    <n v="84.28"/>
    <s v="2023-03-06"/>
    <s v="2023-07-10"/>
    <x v="0"/>
    <n v="7.35"/>
    <n v="4"/>
    <n v="2"/>
    <n v="7"/>
  </r>
  <r>
    <s v="C1219"/>
    <s v="Tara Nair Group"/>
    <x v="6"/>
    <x v="0"/>
    <s v="Pune"/>
    <n v="12"/>
    <s v="2023-03-06"/>
    <s v="Organic Search"/>
    <s v="S5230"/>
    <x v="1"/>
    <s v="Monthly"/>
    <n v="8"/>
    <n v="76.44"/>
    <s v="2023-10-02"/>
    <m/>
    <x v="1"/>
    <n v="7.35"/>
    <n v="4"/>
    <n v="2"/>
    <n v="7"/>
  </r>
  <r>
    <s v="C1220"/>
    <s v="Diya Rao Solutions"/>
    <x v="3"/>
    <x v="2"/>
    <s v="Abu Dhabi"/>
    <n v="12"/>
    <s v="2023-02-28"/>
    <s v="Outbound"/>
    <s v="S5231"/>
    <x v="2"/>
    <s v="Monthly"/>
    <n v="5"/>
    <n v="658.68"/>
    <s v="2023-02-28"/>
    <m/>
    <x v="1"/>
    <n v="11.34782608695652"/>
    <n v="6.4782608695652177"/>
    <n v="5"/>
    <n v="4.5999999999999996"/>
  </r>
  <r>
    <s v="C1221"/>
    <s v="Rahul Gupta Solutions"/>
    <x v="5"/>
    <x v="0"/>
    <s v="Mumbai"/>
    <n v="150"/>
    <s v="2023-05-20"/>
    <s v="Unknown"/>
    <s v="S5232"/>
    <x v="1"/>
    <s v="Annual"/>
    <n v="9"/>
    <n v="80.36"/>
    <s v="2023-05-20"/>
    <s v="2024-08-31"/>
    <x v="0"/>
    <n v="6.75"/>
    <n v="3.5"/>
    <n v="3"/>
    <n v="6.333333333333333"/>
  </r>
  <r>
    <s v="C1222"/>
    <s v="Aarav Verma Labs"/>
    <x v="1"/>
    <x v="1"/>
    <s v="Manchester"/>
    <n v="80"/>
    <s v="2024-09-13"/>
    <s v="Outbound"/>
    <s v="S5233"/>
    <x v="2"/>
    <s v="Monthly"/>
    <n v="9"/>
    <n v="818.36"/>
    <s v="2024-09-13"/>
    <m/>
    <x v="1"/>
    <n v="13.25"/>
    <n v="8.75"/>
    <n v="4"/>
    <n v="4.75"/>
  </r>
  <r>
    <s v="C1223"/>
    <s v="Vihaan Joshi Industries"/>
    <x v="5"/>
    <x v="3"/>
    <s v="Austin"/>
    <n v="12"/>
    <s v="2024-08-07"/>
    <s v="Paid Ads"/>
    <s v="S5234"/>
    <x v="0"/>
    <s v="Annual"/>
    <n v="6"/>
    <n v="278.60000000000002"/>
    <s v="2024-08-07"/>
    <m/>
    <x v="1"/>
    <n v="19.8"/>
    <n v="12.2"/>
    <n v="2"/>
    <n v="7.5"/>
  </r>
  <r>
    <s v="C1224"/>
    <s v="Isha Patel Technologies"/>
    <x v="4"/>
    <x v="0"/>
    <s v="Hyderabad"/>
    <n v="12"/>
    <s v="2024-02-15"/>
    <s v="Paid Ads"/>
    <s v="S5235"/>
    <x v="2"/>
    <s v="Annual"/>
    <n v="11"/>
    <n v="898.2"/>
    <s v="2024-02-15"/>
    <m/>
    <x v="1"/>
    <n v="4"/>
    <n v="1.9090909090909089"/>
    <m/>
    <m/>
  </r>
  <r>
    <s v="C1225"/>
    <s v="Diya Patel Industries"/>
    <x v="3"/>
    <x v="0"/>
    <s v="Hyderabad"/>
    <n v="150"/>
    <s v="2023-08-14"/>
    <s v="Referral"/>
    <s v="S5236"/>
    <x v="1"/>
    <s v="Monthly"/>
    <n v="5"/>
    <n v="64.680000000000007"/>
    <s v="2023-08-14"/>
    <s v="2024-10-14"/>
    <x v="0"/>
    <n v="10.058823529411759"/>
    <n v="6.117647058823529"/>
    <n v="4"/>
    <n v="6.25"/>
  </r>
  <r>
    <s v="C1225"/>
    <s v="Diya Patel Industries"/>
    <x v="3"/>
    <x v="0"/>
    <s v="Hyderabad"/>
    <n v="150"/>
    <s v="2023-08-14"/>
    <s v="Referral"/>
    <s v="S5237"/>
    <x v="1"/>
    <s v="Monthly"/>
    <n v="5"/>
    <n v="64.680000000000007"/>
    <s v="2024-11-14"/>
    <m/>
    <x v="1"/>
    <n v="10.058823529411759"/>
    <n v="6.117647058823529"/>
    <n v="4"/>
    <n v="6.25"/>
  </r>
  <r>
    <s v="C1226"/>
    <s v="Ishaan Patel Industries"/>
    <x v="5"/>
    <x v="0"/>
    <s v="Pune"/>
    <n v="12"/>
    <s v="2023-05-04"/>
    <s v="Events"/>
    <s v="S5238"/>
    <x v="0"/>
    <s v="Monthly"/>
    <n v="4"/>
    <n v="246.76"/>
    <s v="2023-05-04"/>
    <m/>
    <x v="2"/>
    <n v="7.95"/>
    <n v="4.7"/>
    <n v="1"/>
    <n v="9"/>
  </r>
  <r>
    <s v="C1227"/>
    <s v="Karthik Das Industries"/>
    <x v="6"/>
    <x v="0"/>
    <s v="Chennai"/>
    <n v="35"/>
    <s v="2024-04-25"/>
    <s v="Paid Ads"/>
    <s v="S5239"/>
    <x v="2"/>
    <s v="Monthly"/>
    <n v="6"/>
    <n v="698.6"/>
    <s v="2024-04-25"/>
    <s v="2024-08-20"/>
    <x v="0"/>
    <n v="6.4"/>
    <n v="4"/>
    <n v="2"/>
    <n v="6.5"/>
  </r>
  <r>
    <s v="C1228"/>
    <s v="Kiara Sharma Solutions"/>
    <x v="3"/>
    <x v="0"/>
    <s v="Chennai"/>
    <n v="80"/>
    <s v="2023-12-08"/>
    <s v="Partner"/>
    <s v="S5240"/>
    <x v="0"/>
    <s v="Annual"/>
    <n v="3"/>
    <n v="230.84"/>
    <s v="2023-12-08"/>
    <s v="2024-10-29"/>
    <x v="0"/>
    <n v="1.454545454545455"/>
    <n v="0.45454545454545447"/>
    <n v="3"/>
    <n v="4.666666666666667"/>
  </r>
  <r>
    <s v="C1229"/>
    <s v="Farhan Verma Technologies"/>
    <x v="7"/>
    <x v="1"/>
    <s v="Manchester"/>
    <n v="150"/>
    <s v="2024-02-23"/>
    <s v="Organic Search"/>
    <s v="S5241"/>
    <x v="1"/>
    <s v="Monthly"/>
    <n v="7"/>
    <n v="72.52"/>
    <s v="2024-02-23"/>
    <m/>
    <x v="1"/>
    <n v="7.4545454545454541"/>
    <n v="4.4545454545454541"/>
    <n v="2"/>
    <n v="1.5"/>
  </r>
  <r>
    <s v="C1230"/>
    <s v="Ishaan Patel Industries"/>
    <x v="2"/>
    <x v="0"/>
    <s v="Hyderabad"/>
    <n v="12"/>
    <s v="2023-07-24"/>
    <s v="Partner"/>
    <s v="S5242"/>
    <x v="0"/>
    <s v="Annual"/>
    <n v="8"/>
    <n v="310.44"/>
    <s v="2023-07-24"/>
    <s v="2024-11-10"/>
    <x v="0"/>
    <n v="5.117647058823529"/>
    <n v="2.5882352941176472"/>
    <n v="3"/>
    <n v="6.666666666666667"/>
  </r>
  <r>
    <s v="C1230"/>
    <s v="Ishaan Patel Industries"/>
    <x v="2"/>
    <x v="0"/>
    <s v="Hyderabad"/>
    <n v="12"/>
    <s v="2023-07-24"/>
    <s v="Partner"/>
    <s v="S5243"/>
    <x v="2"/>
    <s v="Monthly"/>
    <n v="6"/>
    <n v="698.6"/>
    <s v="2025-01-06"/>
    <m/>
    <x v="1"/>
    <n v="5.117647058823529"/>
    <n v="2.5882352941176472"/>
    <n v="3"/>
    <n v="6.666666666666667"/>
  </r>
  <r>
    <s v="C1231"/>
    <s v="Aditya Patel Group"/>
    <x v="3"/>
    <x v="3"/>
    <s v="Austin"/>
    <n v="150"/>
    <s v="2023-12-09"/>
    <s v="Referral"/>
    <s v="S5244"/>
    <x v="0"/>
    <s v="Monthly"/>
    <n v="4"/>
    <n v="246.76"/>
    <s v="2023-12-09"/>
    <m/>
    <x v="1"/>
    <n v="15.38461538461539"/>
    <n v="8"/>
    <n v="2"/>
    <n v="5.5"/>
  </r>
  <r>
    <s v="C1232"/>
    <s v="Rohan Bose Systems"/>
    <x v="1"/>
    <x v="1"/>
    <s v="Manchester"/>
    <n v="3000"/>
    <s v="2024-10-14"/>
    <s v="Paid Ads"/>
    <s v="S5245"/>
    <x v="2"/>
    <s v="Annual"/>
    <n v="7"/>
    <n v="738.52"/>
    <s v="2024-10-14"/>
    <m/>
    <x v="1"/>
    <n v="12"/>
    <n v="7"/>
    <n v="2"/>
    <n v="7"/>
  </r>
  <r>
    <s v="C1233"/>
    <s v="Deepak Patel Labs"/>
    <x v="4"/>
    <x v="2"/>
    <s v="Dubai"/>
    <n v="400"/>
    <s v="2024-08-17"/>
    <s v="Outbound"/>
    <s v="S5246"/>
    <x v="2"/>
    <s v="Monthly"/>
    <n v="3"/>
    <n v="578.84"/>
    <s v="2024-08-17"/>
    <m/>
    <x v="1"/>
    <n v="13.4"/>
    <n v="6.6"/>
    <n v="6"/>
    <n v="7.333333333333333"/>
  </r>
  <r>
    <s v="C1234"/>
    <s v="Farhan Singh Industries"/>
    <x v="4"/>
    <x v="1"/>
    <s v="London"/>
    <n v="12"/>
    <s v="2023-05-15"/>
    <s v="Paid Ads"/>
    <s v="S5247"/>
    <x v="1"/>
    <s v="Annual"/>
    <n v="6"/>
    <n v="68.599999999999994"/>
    <s v="2023-05-15"/>
    <m/>
    <x v="1"/>
    <n v="21.85"/>
    <n v="12.7"/>
    <n v="4"/>
    <n v="6"/>
  </r>
  <r>
    <s v="C1235"/>
    <s v="Vivaan Bose Technologies"/>
    <x v="6"/>
    <x v="0"/>
    <s v="Mumbai"/>
    <n v="80"/>
    <s v="2024-06-05"/>
    <s v="Partner"/>
    <s v="S5248"/>
    <x v="1"/>
    <s v="Monthly"/>
    <n v="6"/>
    <n v="68.599999999999994"/>
    <s v="2024-06-05"/>
    <m/>
    <x v="1"/>
    <n v="3.285714285714286"/>
    <n v="1.285714285714286"/>
    <n v="4"/>
    <n v="5.5"/>
  </r>
  <r>
    <s v="C1236"/>
    <s v="Saanvi Rao Industries"/>
    <x v="5"/>
    <x v="2"/>
    <s v="Dubai"/>
    <n v="400"/>
    <s v="2023-03-15"/>
    <s v="Referral"/>
    <s v="S5249"/>
    <x v="1"/>
    <s v="Annual"/>
    <n v="7"/>
    <n v="72.52"/>
    <s v="2023-03-15"/>
    <s v="2023-07-31"/>
    <x v="0"/>
    <n v="6.6"/>
    <n v="4.2"/>
    <n v="8"/>
    <n v="5.5"/>
  </r>
  <r>
    <s v="C1237"/>
    <s v="Arun Rao Systems"/>
    <x v="3"/>
    <x v="0"/>
    <s v="Pune"/>
    <n v="150"/>
    <s v="2024-07-20"/>
    <s v="Outbound"/>
    <s v="S5250"/>
    <x v="0"/>
    <s v="Monthly"/>
    <n v="11"/>
    <n v="358.2"/>
    <s v="2024-07-20"/>
    <m/>
    <x v="1"/>
    <n v="24.5"/>
    <n v="11.5"/>
    <n v="3"/>
    <n v="7.333333333333333"/>
  </r>
  <r>
    <s v="C1238"/>
    <s v="Tara Gupta Technologies"/>
    <x v="7"/>
    <x v="1"/>
    <s v="Manchester"/>
    <n v="35"/>
    <s v="2023-05-23"/>
    <s v="Organic Search"/>
    <s v="S5251"/>
    <x v="1"/>
    <s v="Monthly"/>
    <n v="11"/>
    <n v="88.2"/>
    <s v="2023-05-23"/>
    <s v="2025-01-18"/>
    <x v="0"/>
    <n v="6.9"/>
    <n v="3.7"/>
    <n v="2"/>
    <n v="4"/>
  </r>
  <r>
    <s v="C1239"/>
    <s v="Pooja Nair Solutions"/>
    <x v="4"/>
    <x v="1"/>
    <s v="Manchester"/>
    <n v="150"/>
    <s v="2023-05-30"/>
    <s v="Events"/>
    <s v="S5252"/>
    <x v="3"/>
    <s v="Monthly"/>
    <n v="3"/>
    <n v="1738.84"/>
    <s v="2023-05-30"/>
    <s v="2023-08-19"/>
    <x v="0"/>
    <n v="9.75"/>
    <n v="4"/>
    <n v="5"/>
    <n v="6.4"/>
  </r>
  <r>
    <s v="C1240"/>
    <s v="Aadhya Gupta Group"/>
    <x v="1"/>
    <x v="4"/>
    <s v="Singapore"/>
    <n v="80"/>
    <s v="2025-01-12"/>
    <s v="Organic Search"/>
    <s v="S5253"/>
    <x v="1"/>
    <s v="Monthly"/>
    <n v="5"/>
    <n v="64.680000000000007"/>
    <s v="2025-01-12"/>
    <m/>
    <x v="2"/>
    <m/>
    <m/>
    <n v="2"/>
    <n v="5.5"/>
  </r>
  <r>
    <s v="C1241"/>
    <s v="Rohan Iyer Group"/>
    <x v="6"/>
    <x v="0"/>
    <s v="Chennai"/>
    <n v="1200"/>
    <s v="2023-07-05"/>
    <s v="Paid Ads"/>
    <s v="S5254"/>
    <x v="3"/>
    <s v="Monthly"/>
    <n v="6"/>
    <n v="2098.6"/>
    <s v="2023-07-05"/>
    <s v="2024-11-25"/>
    <x v="0"/>
    <n v="11.82352941176471"/>
    <n v="6.9411764705882364"/>
    <n v="1"/>
    <n v="6"/>
  </r>
  <r>
    <s v="C1242"/>
    <s v="Deepak Bose Group"/>
    <x v="1"/>
    <x v="0"/>
    <s v="Hyderabad"/>
    <n v="35"/>
    <s v="2024-11-12"/>
    <s v="Outbound"/>
    <s v="S5255"/>
    <x v="3"/>
    <s v="Monthly"/>
    <n v="8"/>
    <n v="2338.44"/>
    <s v="2024-11-12"/>
    <s v="2025-12-27"/>
    <x v="0"/>
    <n v="3.5"/>
    <n v="1.5"/>
    <n v="3"/>
    <n v="5.333333333333333"/>
  </r>
  <r>
    <s v="C1242"/>
    <s v="Deepak Bose Group"/>
    <x v="1"/>
    <x v="0"/>
    <s v="Hyderabad"/>
    <n v="35"/>
    <s v="2024-11-12"/>
    <s v="Outbound"/>
    <s v="S5256"/>
    <x v="0"/>
    <s v="Monthly"/>
    <n v="8"/>
    <n v="310.44"/>
    <s v="2026-01-28"/>
    <m/>
    <x v="1"/>
    <n v="3.5"/>
    <n v="1.5"/>
    <n v="3"/>
    <n v="5.333333333333333"/>
  </r>
  <r>
    <s v="C1243"/>
    <s v="Aditya Patel Solutions"/>
    <x v="7"/>
    <x v="2"/>
    <s v="Dubai"/>
    <n v="150"/>
    <s v="2023-12-03"/>
    <s v="Paid Ads"/>
    <s v="S5257"/>
    <x v="1"/>
    <s v="Monthly"/>
    <n v="5"/>
    <n v="64.680000000000007"/>
    <s v="2023-12-03"/>
    <m/>
    <x v="1"/>
    <n v="19"/>
    <n v="11.23076923076923"/>
    <n v="2"/>
    <n v="5"/>
  </r>
  <r>
    <s v="C1244"/>
    <s v="Myra Sharma Industries"/>
    <x v="7"/>
    <x v="0"/>
    <s v="Delhi"/>
    <n v="150"/>
    <s v="2024-11-20"/>
    <s v="Referral"/>
    <s v="S5258"/>
    <x v="1"/>
    <s v="Annual"/>
    <n v="7"/>
    <n v="72.52"/>
    <s v="2024-11-20"/>
    <m/>
    <x v="1"/>
    <n v="5"/>
    <n v="3"/>
    <n v="2"/>
    <n v="5"/>
  </r>
  <r>
    <s v="C1245"/>
    <s v="Aadhya Sharma Labs"/>
    <x v="3"/>
    <x v="0"/>
    <s v="Pune"/>
    <n v="150"/>
    <s v="2024-12-08"/>
    <s v="Organic Search"/>
    <s v="S5259"/>
    <x v="1"/>
    <s v="Monthly"/>
    <n v="10"/>
    <n v="84.28"/>
    <s v="2024-12-08"/>
    <m/>
    <x v="1"/>
    <n v="8"/>
    <n v="6"/>
    <n v="7"/>
    <n v="5.1428571428571432"/>
  </r>
  <r>
    <s v="C1246"/>
    <s v="Aditya Sharma Group"/>
    <x v="1"/>
    <x v="2"/>
    <s v="Abu Dhabi"/>
    <n v="80"/>
    <s v="2024-02-13"/>
    <s v="Organic Search"/>
    <s v="S5260"/>
    <x v="2"/>
    <s v="Monthly"/>
    <n v="4"/>
    <n v="618.76"/>
    <s v="2024-02-13"/>
    <m/>
    <x v="1"/>
    <n v="19.27272727272727"/>
    <n v="13.63636363636364"/>
    <n v="2"/>
    <n v="7.5"/>
  </r>
  <r>
    <s v="C1247"/>
    <s v="Karthik Sharma Technologies"/>
    <x v="4"/>
    <x v="1"/>
    <s v="Manchester"/>
    <n v="1200"/>
    <s v="2024-08-23"/>
    <s v="Partner"/>
    <s v="S5261"/>
    <x v="2"/>
    <s v="Monthly"/>
    <n v="7"/>
    <n v="738.52"/>
    <s v="2024-08-23"/>
    <m/>
    <x v="1"/>
    <n v="10.4"/>
    <n v="6.4"/>
    <n v="5"/>
    <n v="4.5999999999999996"/>
  </r>
  <r>
    <s v="C1248"/>
    <s v="Farhan Bose Solutions"/>
    <x v="7"/>
    <x v="2"/>
    <s v="Abu Dhabi"/>
    <n v="400"/>
    <s v="2024-04-18"/>
    <s v="Paid Ads"/>
    <s v="S5262"/>
    <x v="2"/>
    <s v="Monthly"/>
    <n v="7"/>
    <n v="738.52"/>
    <s v="2024-04-18"/>
    <m/>
    <x v="1"/>
    <n v="13.111111111111111"/>
    <n v="8.6666666666666661"/>
    <n v="2"/>
    <n v="5.5"/>
  </r>
  <r>
    <s v="C1249"/>
    <s v="Ananya Singh Solutions"/>
    <x v="4"/>
    <x v="3"/>
    <s v="Boston"/>
    <n v="150"/>
    <s v="2023-04-12"/>
    <s v="Organic Search"/>
    <s v="S5263"/>
    <x v="2"/>
    <s v="Monthly"/>
    <n v="6"/>
    <n v="698.6"/>
    <s v="2023-04-12"/>
    <m/>
    <x v="1"/>
    <n v="13.66666666666667"/>
    <n v="7.0476190476190466"/>
    <n v="4"/>
    <n v="5.5"/>
  </r>
  <r>
    <s v="C1250"/>
    <s v="Sai Rao Industries"/>
    <x v="1"/>
    <x v="0"/>
    <s v="Hyderabad"/>
    <n v="1200"/>
    <s v="2024-01-20"/>
    <s v="Partner"/>
    <s v="S5264"/>
    <x v="3"/>
    <s v="Annual"/>
    <n v="5"/>
    <n v="1978.68"/>
    <s v="2024-01-20"/>
    <m/>
    <x v="2"/>
    <n v="12.41666666666667"/>
    <n v="6.166666666666667"/>
    <n v="5"/>
    <n v="5.6"/>
  </r>
  <r>
    <s v="C1251"/>
    <s v="Diya Khan Group"/>
    <x v="3"/>
    <x v="4"/>
    <s v="Singapore"/>
    <n v="80"/>
    <s v="2023-03-19"/>
    <s v="Paid Ads"/>
    <s v="S5265"/>
    <x v="2"/>
    <s v="Monthly"/>
    <n v="9"/>
    <n v="818.36"/>
    <s v="2023-03-19"/>
    <m/>
    <x v="1"/>
    <n v="7.8636363636363633"/>
    <n v="4.6363636363636367"/>
    <n v="3"/>
    <n v="5"/>
  </r>
  <r>
    <s v="C1252"/>
    <s v="Meera Sharma Industries"/>
    <x v="7"/>
    <x v="1"/>
    <s v="Manchester"/>
    <n v="12"/>
    <s v="2023-07-22"/>
    <s v="Organic Search"/>
    <s v="S5266"/>
    <x v="3"/>
    <s v="Monthly"/>
    <n v="6"/>
    <n v="2098.6"/>
    <s v="2023-07-22"/>
    <s v="2025-02-12"/>
    <x v="0"/>
    <n v="6.9444444444444446"/>
    <n v="3.2222222222222219"/>
    <n v="3"/>
    <n v="4"/>
  </r>
  <r>
    <s v="C1253"/>
    <s v="Karthik Rao Solutions"/>
    <x v="7"/>
    <x v="0"/>
    <s v="Hyderabad"/>
    <n v="35"/>
    <s v="2024-06-01"/>
    <s v="Organic Search"/>
    <s v="S5267"/>
    <x v="1"/>
    <s v="Monthly"/>
    <n v="9"/>
    <n v="80.36"/>
    <s v="2024-06-01"/>
    <s v="2025-09-24"/>
    <x v="0"/>
    <n v="6"/>
    <n v="3"/>
    <n v="8"/>
    <n v="6.25"/>
  </r>
  <r>
    <s v="C1253"/>
    <s v="Karthik Rao Solutions"/>
    <x v="7"/>
    <x v="0"/>
    <s v="Hyderabad"/>
    <n v="35"/>
    <s v="2024-06-01"/>
    <s v="Organic Search"/>
    <s v="S5268"/>
    <x v="1"/>
    <s v="Monthly"/>
    <n v="8"/>
    <n v="76.44"/>
    <s v="2025-11-11"/>
    <m/>
    <x v="1"/>
    <n v="6"/>
    <n v="3"/>
    <n v="8"/>
    <n v="6.25"/>
  </r>
  <r>
    <s v="C1254"/>
    <s v="Rohan Nair Technologies"/>
    <x v="5"/>
    <x v="3"/>
    <s v="Boston"/>
    <n v="35"/>
    <s v="2023-04-19"/>
    <s v="Organic Search"/>
    <s v="S5269"/>
    <x v="0"/>
    <s v="Annual"/>
    <n v="8"/>
    <n v="310.44"/>
    <s v="2023-04-19"/>
    <m/>
    <x v="1"/>
    <n v="7.8095238095238093"/>
    <n v="4.2380952380952381"/>
    <n v="4"/>
    <n v="5"/>
  </r>
  <r>
    <s v="C1255"/>
    <s v="Riya Joshi Labs"/>
    <x v="6"/>
    <x v="0"/>
    <s v="Mumbai"/>
    <n v="12"/>
    <s v="2024-10-25"/>
    <s v="Referral"/>
    <s v="S5270"/>
    <x v="0"/>
    <s v="Annual"/>
    <n v="8"/>
    <n v="310.44"/>
    <s v="2024-10-25"/>
    <s v="2025-02-25"/>
    <x v="0"/>
    <n v="1"/>
    <n v="0"/>
    <n v="1"/>
    <n v="8"/>
  </r>
  <r>
    <s v="C1256"/>
    <s v="Sai Gupta Technologies"/>
    <x v="7"/>
    <x v="1"/>
    <s v="London"/>
    <n v="35"/>
    <s v="2024-03-30"/>
    <s v="Events"/>
    <s v="S5271"/>
    <x v="3"/>
    <s v="Monthly"/>
    <n v="5"/>
    <n v="1978.68"/>
    <s v="2024-03-30"/>
    <m/>
    <x v="1"/>
    <n v="10.199999999999999"/>
    <n v="5.3"/>
    <n v="4"/>
    <n v="4.75"/>
  </r>
  <r>
    <s v="C1257"/>
    <s v="Vihaan Patel Solutions"/>
    <x v="4"/>
    <x v="0"/>
    <s v="Chennai"/>
    <n v="35"/>
    <s v="2023-11-18"/>
    <s v="Partner"/>
    <s v="S5272"/>
    <x v="3"/>
    <s v="Monthly"/>
    <n v="4"/>
    <n v="1858.76"/>
    <s v="2023-11-18"/>
    <s v="2024-02-25"/>
    <x v="0"/>
    <n v="7.5"/>
    <n v="3"/>
    <n v="5"/>
    <n v="5.2"/>
  </r>
  <r>
    <s v="C1258"/>
    <s v="Myra Verma Technologies"/>
    <x v="7"/>
    <x v="1"/>
    <s v="Manchester"/>
    <n v="150"/>
    <s v="2024-02-27"/>
    <s v="Organic Search"/>
    <s v="S5273"/>
    <x v="2"/>
    <s v="Monthly"/>
    <n v="5"/>
    <n v="658.68"/>
    <s v="2024-02-27"/>
    <s v="2024-06-29"/>
    <x v="0"/>
    <n v="2.4"/>
    <n v="0.6"/>
    <n v="1"/>
    <n v="7"/>
  </r>
  <r>
    <s v="C1259"/>
    <s v="Priya Reddy Systems"/>
    <x v="4"/>
    <x v="0"/>
    <s v="Delhi"/>
    <n v="80"/>
    <s v="2024-10-31"/>
    <s v="Paid Ads"/>
    <s v="S5274"/>
    <x v="2"/>
    <s v="Monthly"/>
    <n v="8"/>
    <n v="778.44"/>
    <s v="2024-10-31"/>
    <m/>
    <x v="1"/>
    <n v="21.666666666666671"/>
    <n v="15.33333333333333"/>
    <n v="1"/>
    <n v="6"/>
  </r>
  <r>
    <s v="C1260"/>
    <s v="Meera Iyer Technologies"/>
    <x v="1"/>
    <x v="0"/>
    <s v="Bengaluru"/>
    <n v="80"/>
    <s v="2023-06-11"/>
    <s v="Referral"/>
    <s v="S5275"/>
    <x v="2"/>
    <s v="Monthly"/>
    <n v="7"/>
    <n v="818.36"/>
    <s v="2023-06-11"/>
    <m/>
    <x v="1"/>
    <n v="10.05263157894737"/>
    <n v="5.3157894736842106"/>
    <n v="4"/>
    <n v="6.25"/>
  </r>
  <r>
    <s v="C1261"/>
    <s v="Reyansh Menon Labs"/>
    <x v="2"/>
    <x v="0"/>
    <s v="Delhi"/>
    <n v="150"/>
    <s v="2024-03-07"/>
    <s v="Outbound"/>
    <s v="S5276"/>
    <x v="3"/>
    <s v="Monthly"/>
    <n v="5"/>
    <n v="1978.68"/>
    <s v="2024-03-07"/>
    <s v="2024-06-08"/>
    <x v="0"/>
    <n v="14.25"/>
    <n v="7.75"/>
    <n v="3"/>
    <n v="5"/>
  </r>
  <r>
    <s v="C1262"/>
    <s v="Arun Joshi Group"/>
    <x v="2"/>
    <x v="1"/>
    <s v="London"/>
    <n v="150"/>
    <s v="2024-04-09"/>
    <s v="Paid Ads"/>
    <s v="S5277"/>
    <x v="0"/>
    <s v="Monthly"/>
    <n v="10"/>
    <n v="342.28"/>
    <s v="2024-04-09"/>
    <m/>
    <x v="1"/>
    <n v="16.111111111111111"/>
    <n v="9.5555555555555554"/>
    <n v="3"/>
    <n v="6"/>
  </r>
  <r>
    <s v="C1263"/>
    <s v="Deepak Reddy Industries"/>
    <x v="7"/>
    <x v="0"/>
    <s v="Bengaluru"/>
    <n v="80"/>
    <s v="2025-01-05"/>
    <s v="Paid Ads"/>
    <s v="S5278"/>
    <x v="3"/>
    <s v="Monthly"/>
    <n v="8"/>
    <n v="2338.44"/>
    <s v="2025-01-05"/>
    <m/>
    <x v="1"/>
    <m/>
    <m/>
    <n v="1"/>
    <n v="4"/>
  </r>
  <r>
    <s v="C1264"/>
    <s v="Aarav Nair Solutions"/>
    <x v="5"/>
    <x v="0"/>
    <s v="Mumbai"/>
    <n v="35"/>
    <s v="2024-07-05"/>
    <s v="Referral"/>
    <s v="S5279"/>
    <x v="2"/>
    <s v="Monthly"/>
    <n v="6"/>
    <n v="698.6"/>
    <s v="2024-07-05"/>
    <m/>
    <x v="1"/>
    <n v="20"/>
    <n v="9.6666666666666661"/>
    <n v="5"/>
    <n v="6.4"/>
  </r>
  <r>
    <s v="C1265"/>
    <s v="Aditya Reddy Solutions"/>
    <x v="2"/>
    <x v="1"/>
    <s v="London"/>
    <n v="3000"/>
    <s v="2023-10-23"/>
    <s v="Events"/>
    <s v="S5280"/>
    <x v="0"/>
    <s v="Monthly"/>
    <n v="7"/>
    <n v="294.52"/>
    <s v="2023-10-23"/>
    <m/>
    <x v="1"/>
    <n v="4.2"/>
    <n v="2.2666666666666671"/>
    <n v="4"/>
    <n v="3.25"/>
  </r>
  <r>
    <s v="C1266"/>
    <s v="Arun Nair Systems"/>
    <x v="5"/>
    <x v="2"/>
    <s v="Abu Dhabi"/>
    <n v="80"/>
    <s v="2023-07-04"/>
    <s v="Paid Ads"/>
    <s v="S5281"/>
    <x v="0"/>
    <s v="Annual"/>
    <n v="10"/>
    <n v="342.28"/>
    <s v="2023-07-04"/>
    <m/>
    <x v="1"/>
    <n v="17.5"/>
    <n v="9.7777777777777786"/>
    <n v="3"/>
    <n v="7"/>
  </r>
  <r>
    <s v="C1267"/>
    <s v="Nikita Rao Industries"/>
    <x v="2"/>
    <x v="0"/>
    <s v="Hyderabad"/>
    <n v="150"/>
    <s v="2023-11-09"/>
    <s v="Organic Search"/>
    <s v="S5282"/>
    <x v="3"/>
    <s v="Monthly"/>
    <n v="6"/>
    <n v="2098.6"/>
    <s v="2023-11-09"/>
    <s v="2024-04-16"/>
    <x v="0"/>
    <n v="6.5"/>
    <n v="3.666666666666667"/>
    <n v="5"/>
    <n v="5.6"/>
  </r>
  <r>
    <s v="C1268"/>
    <s v="Deepak Patel Industries"/>
    <x v="6"/>
    <x v="0"/>
    <s v="Delhi"/>
    <n v="1200"/>
    <s v="2023-08-21"/>
    <s v="Organic Search"/>
    <s v="S5283"/>
    <x v="1"/>
    <s v="Monthly"/>
    <n v="9"/>
    <n v="80.36"/>
    <s v="2023-08-21"/>
    <m/>
    <x v="1"/>
    <n v="14.58823529411765"/>
    <n v="8.5294117647058822"/>
    <n v="1"/>
    <n v="9"/>
  </r>
  <r>
    <s v="C1269"/>
    <s v="Aadhya Patel Solutions"/>
    <x v="6"/>
    <x v="0"/>
    <s v="Pune"/>
    <n v="80"/>
    <s v="2024-01-16"/>
    <s v="Organic Search"/>
    <s v="S5284"/>
    <x v="0"/>
    <s v="Monthly"/>
    <n v="7"/>
    <n v="294.52"/>
    <s v="2024-01-16"/>
    <s v="2025-08-04"/>
    <x v="0"/>
    <n v="7"/>
    <n v="3.666666666666667"/>
    <n v="4"/>
    <n v="4"/>
  </r>
  <r>
    <s v="C1270"/>
    <s v="Farhan Menon Group"/>
    <x v="3"/>
    <x v="0"/>
    <s v="Mumbai"/>
    <n v="150"/>
    <s v="2024-06-22"/>
    <s v="Partner"/>
    <s v="S5285"/>
    <x v="0"/>
    <s v="Annual"/>
    <n v="7"/>
    <n v="294.52"/>
    <s v="2024-06-22"/>
    <m/>
    <x v="1"/>
    <n v="16.285714285714281"/>
    <n v="9.8571428571428577"/>
    <n v="3"/>
    <n v="4.333333333333333"/>
  </r>
  <r>
    <s v="C1271"/>
    <s v="Myra Gupta Industries"/>
    <x v="2"/>
    <x v="0"/>
    <s v="Bengaluru"/>
    <n v="400"/>
    <s v="2024-12-11"/>
    <s v="Paid Ads"/>
    <s v="S5286"/>
    <x v="0"/>
    <s v="Monthly"/>
    <n v="7"/>
    <n v="294.52"/>
    <s v="2024-12-11"/>
    <m/>
    <x v="1"/>
    <n v="18"/>
    <n v="14"/>
    <n v="1"/>
    <n v="6"/>
  </r>
  <r>
    <s v="C1272"/>
    <s v="Pooja Joshi Industries"/>
    <x v="1"/>
    <x v="1"/>
    <s v="London"/>
    <n v="80"/>
    <s v="2024-04-25"/>
    <s v="Paid Ads"/>
    <s v="S5287"/>
    <x v="3"/>
    <s v="Annual"/>
    <n v="7"/>
    <n v="2218.52"/>
    <s v="2024-04-25"/>
    <m/>
    <x v="1"/>
    <n v="4.2222222222222223"/>
    <n v="1.666666666666667"/>
    <n v="5"/>
    <n v="4.8"/>
  </r>
  <r>
    <s v="C1273"/>
    <s v="Ananya Menon Systems"/>
    <x v="4"/>
    <x v="0"/>
    <s v="Delhi"/>
    <n v="150"/>
    <s v="2023-03-25"/>
    <s v="Partner"/>
    <s v="S5288"/>
    <x v="2"/>
    <s v="Annual"/>
    <n v="9"/>
    <n v="818.36"/>
    <s v="2023-03-25"/>
    <m/>
    <x v="1"/>
    <n v="7.9545454545454541"/>
    <n v="3.7727272727272729"/>
    <n v="2"/>
    <n v="4.5"/>
  </r>
  <r>
    <s v="C1274"/>
    <s v="Aadhya Khan Systems"/>
    <x v="1"/>
    <x v="2"/>
    <s v="Abu Dhabi"/>
    <n v="80"/>
    <s v="2024-10-06"/>
    <s v="Events"/>
    <s v="S5289"/>
    <x v="0"/>
    <s v="Monthly"/>
    <n v="10"/>
    <n v="342.28"/>
    <s v="2024-10-06"/>
    <s v="2025-05-07"/>
    <x v="0"/>
    <n v="10.33333333333333"/>
    <n v="3"/>
    <n v="2"/>
    <n v="2"/>
  </r>
  <r>
    <s v="C1275"/>
    <s v="Nikita Verma Technologies"/>
    <x v="3"/>
    <x v="2"/>
    <s v="Abu Dhabi"/>
    <n v="35"/>
    <s v="2023-09-06"/>
    <s v="Paid Ads"/>
    <s v="S5290"/>
    <x v="3"/>
    <s v="Annual"/>
    <n v="1"/>
    <n v="1499"/>
    <s v="2023-09-06"/>
    <s v="2024-09-21"/>
    <x v="0"/>
    <n v="10.69230769230769"/>
    <n v="7"/>
    <n v="2"/>
    <n v="7"/>
  </r>
  <r>
    <s v="C1276"/>
    <s v="Myra Reddy Industries"/>
    <x v="3"/>
    <x v="4"/>
    <s v="Singapore"/>
    <n v="1200"/>
    <s v="2024-06-23"/>
    <s v="Unknown"/>
    <s v="S5291"/>
    <x v="0"/>
    <s v="Annual"/>
    <n v="4"/>
    <n v="246.76"/>
    <s v="2024-06-23"/>
    <s v="2024-10-08"/>
    <x v="0"/>
    <n v="11"/>
    <n v="6.2"/>
    <n v="4"/>
    <n v="7"/>
  </r>
  <r>
    <s v="C1277"/>
    <s v="Kiara Gupta Industries"/>
    <x v="3"/>
    <x v="2"/>
    <s v="Dubai"/>
    <n v="3000"/>
    <s v="2023-01-19"/>
    <s v="Paid Ads"/>
    <s v="S5292"/>
    <x v="0"/>
    <s v="Annual"/>
    <n v="8"/>
    <n v="294.52"/>
    <s v="2023-01-19"/>
    <s v="2024-07-15"/>
    <x v="0"/>
    <n v="4.6842105263157894"/>
    <n v="2.1578947368421049"/>
    <n v="3"/>
    <n v="5.666666666666667"/>
  </r>
  <r>
    <s v="C1278"/>
    <s v="Meera Sharma Industries"/>
    <x v="7"/>
    <x v="1"/>
    <s v="London"/>
    <n v="35"/>
    <s v="2024-02-14"/>
    <s v="Paid Ads"/>
    <s v="S5293"/>
    <x v="1"/>
    <s v="Annual"/>
    <n v="7"/>
    <n v="72.52"/>
    <s v="2024-02-14"/>
    <s v="2025-03-28"/>
    <x v="0"/>
    <n v="2.7272727272727271"/>
    <n v="1.454545454545455"/>
    <n v="6"/>
    <n v="8"/>
  </r>
  <r>
    <s v="C1279"/>
    <s v="Divya Verma Solutions"/>
    <x v="1"/>
    <x v="0"/>
    <s v="Pune"/>
    <n v="400"/>
    <s v="2024-06-19"/>
    <s v="Events"/>
    <s v="S5294"/>
    <x v="1"/>
    <s v="Monthly"/>
    <n v="9"/>
    <n v="80.36"/>
    <s v="2024-06-19"/>
    <s v="2025-02-28"/>
    <x v="0"/>
    <n v="4.1428571428571432"/>
    <n v="1.714285714285714"/>
    <n v="3"/>
    <n v="5.333333333333333"/>
  </r>
  <r>
    <s v="C1280"/>
    <s v="Aman Patel Systems"/>
    <x v="6"/>
    <x v="4"/>
    <s v="Singapore"/>
    <n v="80"/>
    <s v="2024-04-06"/>
    <s v="Organic Search"/>
    <s v="S5295"/>
    <x v="0"/>
    <s v="Annual"/>
    <n v="6"/>
    <n v="278.60000000000002"/>
    <s v="2024-04-06"/>
    <m/>
    <x v="1"/>
    <n v="17.777777777777779"/>
    <n v="9.3333333333333339"/>
    <n v="7"/>
    <n v="5"/>
  </r>
  <r>
    <s v="C1281"/>
    <s v="Farhan Das Group"/>
    <x v="1"/>
    <x v="0"/>
    <s v="Mumbai"/>
    <n v="12"/>
    <s v="2024-05-17"/>
    <s v="Partner"/>
    <s v="S5296"/>
    <x v="3"/>
    <s v="Annual"/>
    <n v="6"/>
    <n v="2098.6"/>
    <s v="2024-05-17"/>
    <s v="2025-12-09"/>
    <x v="0"/>
    <n v="2.125"/>
    <n v="0.5"/>
    <n v="2"/>
    <n v="3"/>
  </r>
  <r>
    <s v="C1282"/>
    <s v="Nikita Menon Solutions"/>
    <x v="6"/>
    <x v="3"/>
    <s v="Boston"/>
    <n v="12"/>
    <s v="2024-12-03"/>
    <s v="Partner"/>
    <s v="S5297"/>
    <x v="3"/>
    <s v="Annual"/>
    <n v="5"/>
    <n v="1978.68"/>
    <s v="2024-12-03"/>
    <m/>
    <x v="1"/>
    <n v="11"/>
    <n v="7"/>
    <n v="5"/>
    <n v="5"/>
  </r>
  <r>
    <s v="C1283"/>
    <s v="Kiara Nair Industries"/>
    <x v="6"/>
    <x v="2"/>
    <s v="Dubai"/>
    <n v="12"/>
    <s v="2023-04-03"/>
    <s v="Paid Ads"/>
    <s v="S5298"/>
    <x v="1"/>
    <s v="Annual"/>
    <n v="10"/>
    <n v="84.28"/>
    <s v="2023-04-03"/>
    <m/>
    <x v="1"/>
    <n v="5.1904761904761907"/>
    <n v="2.285714285714286"/>
    <n v="1"/>
    <n v="3"/>
  </r>
  <r>
    <s v="C1284"/>
    <s v="Zoya Das Group"/>
    <x v="2"/>
    <x v="0"/>
    <s v="Pune"/>
    <n v="400"/>
    <s v="2024-12-27"/>
    <s v="Organic Search"/>
    <s v="S5299"/>
    <x v="3"/>
    <s v="Annual"/>
    <n v="5"/>
    <n v="1978.68"/>
    <s v="2024-12-27"/>
    <m/>
    <x v="1"/>
    <n v="23"/>
    <n v="16"/>
    <n v="3"/>
    <n v="4.333333333333333"/>
  </r>
  <r>
    <s v="C1285"/>
    <s v="Isha Verma Solutions"/>
    <x v="6"/>
    <x v="1"/>
    <s v="Manchester"/>
    <n v="400"/>
    <s v="2023-05-19"/>
    <s v="Partner"/>
    <s v="S5300"/>
    <x v="2"/>
    <s v="Monthly"/>
    <n v="8"/>
    <n v="778.44"/>
    <s v="2023-05-19"/>
    <m/>
    <x v="1"/>
    <n v="2.2000000000000002"/>
    <n v="0.65"/>
    <n v="2"/>
    <n v="5.5"/>
  </r>
  <r>
    <s v="C1286"/>
    <s v="Krishna Khan Solutions"/>
    <x v="7"/>
    <x v="1"/>
    <s v="Manchester"/>
    <n v="150"/>
    <s v="2023-10-27"/>
    <s v="Referral"/>
    <s v="S5301"/>
    <x v="0"/>
    <s v="Monthly"/>
    <n v="9"/>
    <n v="326.36"/>
    <s v="2023-10-27"/>
    <m/>
    <x v="1"/>
    <n v="7.2"/>
    <n v="4.2666666666666666"/>
    <n v="1"/>
    <n v="7"/>
  </r>
  <r>
    <s v="C1287"/>
    <s v="Farhan Nair Industries"/>
    <x v="5"/>
    <x v="1"/>
    <s v="Manchester"/>
    <n v="35"/>
    <s v="2023-09-09"/>
    <s v="Organic Search"/>
    <s v="S5302"/>
    <x v="0"/>
    <s v="Monthly"/>
    <n v="3"/>
    <n v="230.84"/>
    <s v="2023-09-09"/>
    <s v="2024-11-04"/>
    <x v="0"/>
    <n v="2.333333333333333"/>
    <n v="0.6"/>
    <n v="4"/>
    <n v="4.25"/>
  </r>
  <r>
    <s v="C1288"/>
    <s v="Kiara Das Labs"/>
    <x v="2"/>
    <x v="0"/>
    <s v="Bengaluru"/>
    <n v="400"/>
    <s v="2024-09-09"/>
    <s v="Organic Search"/>
    <s v="S5303"/>
    <x v="3"/>
    <s v="Monthly"/>
    <n v="2"/>
    <n v="1618.92"/>
    <s v="2024-09-09"/>
    <m/>
    <x v="1"/>
    <n v="16.25"/>
    <n v="9.25"/>
    <n v="1"/>
    <n v="9"/>
  </r>
  <r>
    <s v="C1289"/>
    <s v="Karthik Patel Systems"/>
    <x v="6"/>
    <x v="0"/>
    <s v="Delhi"/>
    <n v="1200"/>
    <s v="2023-02-13"/>
    <s v="Events"/>
    <s v="S5304"/>
    <x v="0"/>
    <s v="Annual"/>
    <n v="5"/>
    <n v="262.68"/>
    <s v="2023-02-13"/>
    <m/>
    <x v="1"/>
    <n v="4.3043478260869561"/>
    <n v="2.304347826086957"/>
    <n v="2"/>
    <n v="5"/>
  </r>
  <r>
    <s v="C1290"/>
    <s v="Riya Singh Systems"/>
    <x v="4"/>
    <x v="2"/>
    <s v="Dubai"/>
    <n v="1200"/>
    <s v="2023-05-09"/>
    <s v="Referral"/>
    <s v="S5305"/>
    <x v="3"/>
    <s v="Monthly"/>
    <n v="10"/>
    <n v="2578.2800000000002"/>
    <s v="2023-05-09"/>
    <m/>
    <x v="2"/>
    <n v="21.45"/>
    <n v="13.15"/>
    <n v="4"/>
    <n v="7.25"/>
  </r>
  <r>
    <s v="C1291"/>
    <s v="Diya Rao Systems"/>
    <x v="2"/>
    <x v="3"/>
    <s v="Seattle"/>
    <n v="80"/>
    <s v="2024-11-30"/>
    <s v="Outbound"/>
    <s v="S5306"/>
    <x v="1"/>
    <s v="Monthly"/>
    <n v="4"/>
    <n v="60.76"/>
    <s v="2024-11-30"/>
    <m/>
    <x v="1"/>
    <n v="19"/>
    <n v="16"/>
    <n v="4"/>
    <n v="7.75"/>
  </r>
  <r>
    <s v="C1292"/>
    <s v="Divya Sharma Technologies"/>
    <x v="6"/>
    <x v="2"/>
    <s v="Dubai"/>
    <n v="3000"/>
    <s v="2024-06-08"/>
    <s v="Paid Ads"/>
    <s v="S5307"/>
    <x v="0"/>
    <s v="Annual"/>
    <n v="5"/>
    <n v="262.68"/>
    <s v="2024-06-08"/>
    <m/>
    <x v="1"/>
    <n v="21.142857142857139"/>
    <n v="13.428571428571431"/>
    <n v="4"/>
    <n v="5.25"/>
  </r>
  <r>
    <s v="C1293"/>
    <s v="Tara Joshi Systems"/>
    <x v="5"/>
    <x v="3"/>
    <s v="Boston"/>
    <n v="80"/>
    <s v="2024-06-01"/>
    <s v="Paid Ads"/>
    <s v="S5308"/>
    <x v="0"/>
    <s v="Annual"/>
    <n v="6"/>
    <n v="278.60000000000002"/>
    <s v="2024-06-01"/>
    <m/>
    <x v="1"/>
    <n v="3.714285714285714"/>
    <n v="1.714285714285714"/>
    <n v="6"/>
    <n v="6"/>
  </r>
  <r>
    <s v="C1294"/>
    <s v="Meera Singh Group"/>
    <x v="5"/>
    <x v="0"/>
    <s v="Chennai"/>
    <n v="12"/>
    <s v="2023-07-24"/>
    <s v="Organic Search"/>
    <s v="S5309"/>
    <x v="0"/>
    <s v="Annual"/>
    <n v="11"/>
    <n v="358.2"/>
    <s v="2023-07-24"/>
    <s v="2024-02-08"/>
    <x v="0"/>
    <n v="6.75"/>
    <n v="4"/>
    <n v="4"/>
    <n v="6"/>
  </r>
  <r>
    <s v="C1295"/>
    <s v="Aman Joshi Group"/>
    <x v="3"/>
    <x v="0"/>
    <s v="Bengaluru"/>
    <n v="80"/>
    <s v="2024-05-05"/>
    <s v="Outbound"/>
    <s v="S5310"/>
    <x v="0"/>
    <s v="Annual"/>
    <n v="6"/>
    <n v="278.60000000000002"/>
    <s v="2024-05-05"/>
    <m/>
    <x v="1"/>
    <n v="4.25"/>
    <n v="2.375"/>
    <m/>
    <m/>
  </r>
  <r>
    <s v="C1296"/>
    <s v="Saanvi Khan Group"/>
    <x v="6"/>
    <x v="0"/>
    <s v="Hyderabad"/>
    <n v="12"/>
    <s v="2023-02-12"/>
    <s v="Partner"/>
    <s v="S5311"/>
    <x v="2"/>
    <s v="Annual"/>
    <n v="5"/>
    <n v="658.68"/>
    <s v="2023-02-12"/>
    <m/>
    <x v="1"/>
    <n v="11.739130434782609"/>
    <n v="7.2608695652173916"/>
    <n v="4"/>
    <n v="7.25"/>
  </r>
  <r>
    <s v="C1297"/>
    <s v="Naveen Sharma Technologies"/>
    <x v="4"/>
    <x v="0"/>
    <s v="Bengaluru"/>
    <n v="1200"/>
    <s v="2023-09-16"/>
    <s v="Partner"/>
    <s v="S5312"/>
    <x v="2"/>
    <s v="Monthly"/>
    <n v="6"/>
    <n v="698.6"/>
    <s v="2023-09-16"/>
    <m/>
    <x v="1"/>
    <n v="15.5625"/>
    <n v="8.0625"/>
    <n v="5"/>
    <n v="5.6"/>
  </r>
  <r>
    <s v="C1298"/>
    <s v="Riya Menon Systems"/>
    <x v="7"/>
    <x v="4"/>
    <s v="Singapore"/>
    <n v="35"/>
    <s v="2023-04-14"/>
    <s v="Paid Ads"/>
    <s v="S5313"/>
    <x v="1"/>
    <s v="Monthly"/>
    <n v="3"/>
    <n v="56.84"/>
    <s v="2023-04-14"/>
    <m/>
    <x v="1"/>
    <n v="4.0952380952380949"/>
    <n v="2.4761904761904758"/>
    <n v="4"/>
    <n v="6.5"/>
  </r>
  <r>
    <s v="C1299"/>
    <s v="Rahul Iyer Group"/>
    <x v="6"/>
    <x v="1"/>
    <s v="London"/>
    <n v="12"/>
    <s v="2023-08-23"/>
    <s v="Paid Ads"/>
    <s v="S5314"/>
    <x v="0"/>
    <s v="Monthly"/>
    <n v="12"/>
    <n v="374.12"/>
    <s v="2023-08-23"/>
    <m/>
    <x v="1"/>
    <n v="5.2941176470588234"/>
    <n v="2.2941176470588229"/>
    <n v="2"/>
    <n v="6"/>
  </r>
  <r>
    <s v="C1300"/>
    <s v="Krishna Sharma Solutions"/>
    <x v="2"/>
    <x v="0"/>
    <s v="Hyderabad"/>
    <n v="150"/>
    <s v="2023-06-19"/>
    <s v="Paid Ads"/>
    <s v="S5315"/>
    <x v="0"/>
    <s v="Monthly"/>
    <n v="6"/>
    <n v="278.60000000000002"/>
    <s v="2023-06-19"/>
    <m/>
    <x v="1"/>
    <n v="20"/>
    <n v="12.05263157894737"/>
    <n v="3"/>
    <n v="6.666666666666667"/>
  </r>
  <r>
    <s v="C1301"/>
    <s v="Sanjay Verma Industries"/>
    <x v="3"/>
    <x v="1"/>
    <s v="London"/>
    <n v="80"/>
    <s v="2023-02-23"/>
    <s v="Organic Search"/>
    <s v="S5316"/>
    <x v="0"/>
    <s v="Monthly"/>
    <n v="3"/>
    <n v="230.84"/>
    <s v="2023-02-23"/>
    <s v="2023-06-27"/>
    <x v="0"/>
    <n v="2.2000000000000002"/>
    <n v="0.4"/>
    <n v="2"/>
    <n v="7.5"/>
  </r>
  <r>
    <s v="C1302"/>
    <s v="Ishaan Singh Industries"/>
    <x v="3"/>
    <x v="4"/>
    <s v="Singapore"/>
    <n v="150"/>
    <s v="2024-05-13"/>
    <s v="Organic Search"/>
    <s v="S5317"/>
    <x v="2"/>
    <s v="Annual"/>
    <n v="8"/>
    <n v="778.44"/>
    <s v="2024-05-13"/>
    <s v="2026-01-20"/>
    <x v="0"/>
    <n v="9.625"/>
    <n v="6.25"/>
    <n v="3"/>
    <n v="4.333333333333333"/>
  </r>
  <r>
    <s v="C1303"/>
    <s v="Farhan Khan Systems"/>
    <x v="6"/>
    <x v="0"/>
    <s v="Delhi"/>
    <n v="80"/>
    <s v="2023-08-15"/>
    <s v="Referral"/>
    <s v="S5318"/>
    <x v="1"/>
    <s v="Monthly"/>
    <n v="7"/>
    <n v="72.52"/>
    <s v="2023-08-15"/>
    <m/>
    <x v="1"/>
    <n v="6.7058823529411766"/>
    <n v="3.2941176470588229"/>
    <n v="7"/>
    <n v="4.8571428571428568"/>
  </r>
  <r>
    <s v="C1304"/>
    <s v="Karthik Sharma Group"/>
    <x v="1"/>
    <x v="1"/>
    <s v="London"/>
    <n v="400"/>
    <s v="2023-10-18"/>
    <s v="Paid Ads"/>
    <s v="S5319"/>
    <x v="1"/>
    <s v="Monthly"/>
    <n v="5"/>
    <n v="64.680000000000007"/>
    <s v="2023-10-18"/>
    <m/>
    <x v="1"/>
    <n v="4.4666666666666668"/>
    <n v="2.666666666666667"/>
    <n v="4"/>
    <n v="3.5"/>
  </r>
  <r>
    <s v="C1305"/>
    <s v="Ananya Reddy Solutions"/>
    <x v="4"/>
    <x v="1"/>
    <s v="Manchester"/>
    <n v="400"/>
    <s v="2024-11-01"/>
    <s v="Organic Search"/>
    <s v="S5320"/>
    <x v="0"/>
    <s v="Annual"/>
    <n v="7"/>
    <n v="262.68"/>
    <s v="2024-11-01"/>
    <s v="2025-10-15"/>
    <x v="0"/>
    <n v="1.5"/>
    <n v="0.5"/>
    <n v="5"/>
    <n v="4.4000000000000004"/>
  </r>
  <r>
    <s v="C1306"/>
    <s v="Ananya Nair Systems"/>
    <x v="7"/>
    <x v="0"/>
    <s v="Pune"/>
    <n v="80"/>
    <s v="2024-06-24"/>
    <s v="Partner"/>
    <s v="S5321"/>
    <x v="1"/>
    <s v="Annual"/>
    <n v="7"/>
    <n v="72.52"/>
    <s v="2024-06-24"/>
    <m/>
    <x v="1"/>
    <n v="8.2857142857142865"/>
    <n v="3.5714285714285721"/>
    <n v="3"/>
    <n v="7"/>
  </r>
  <r>
    <s v="C1307"/>
    <s v="Rahul Reddy Technologies"/>
    <x v="7"/>
    <x v="0"/>
    <s v="Delhi"/>
    <n v="35"/>
    <s v="2023-09-03"/>
    <s v="Partner"/>
    <s v="S5322"/>
    <x v="0"/>
    <s v="Monthly"/>
    <n v="6"/>
    <n v="278.60000000000002"/>
    <s v="2023-09-03"/>
    <m/>
    <x v="1"/>
    <n v="19.875"/>
    <n v="12.9375"/>
    <n v="4"/>
    <n v="6.5"/>
  </r>
  <r>
    <s v="C1308"/>
    <s v="Naveen Gupta Labs"/>
    <x v="0"/>
    <x v="1"/>
    <s v="Manchester"/>
    <n v="35"/>
    <s v="2024-07-25"/>
    <s v="Paid Ads"/>
    <s v="S5323"/>
    <x v="3"/>
    <s v="Annual"/>
    <n v="9"/>
    <n v="2458.36"/>
    <s v="2024-07-25"/>
    <m/>
    <x v="1"/>
    <n v="3.333333333333333"/>
    <n v="1.5"/>
    <n v="1"/>
    <n v="6"/>
  </r>
  <r>
    <s v="C1309"/>
    <s v="Diya Gupta Labs"/>
    <x v="5"/>
    <x v="4"/>
    <s v="Singapore"/>
    <n v="35"/>
    <s v="2023-02-06"/>
    <s v="Partner"/>
    <s v="S5324"/>
    <x v="1"/>
    <s v="Monthly"/>
    <n v="9"/>
    <n v="80.36"/>
    <s v="2023-02-06"/>
    <m/>
    <x v="1"/>
    <n v="7.9565217391304346"/>
    <n v="4.6521739130434776"/>
    <n v="3"/>
    <n v="7.333333333333333"/>
  </r>
  <r>
    <s v="C1310"/>
    <s v="Riya Das Technologies"/>
    <x v="3"/>
    <x v="1"/>
    <s v="Manchester"/>
    <n v="3000"/>
    <s v="2024-08-25"/>
    <s v="Partner"/>
    <s v="S5325"/>
    <x v="2"/>
    <s v="Monthly"/>
    <n v="8"/>
    <n v="778.44"/>
    <s v="2024-08-25"/>
    <m/>
    <x v="1"/>
    <n v="9"/>
    <n v="4"/>
    <n v="3"/>
    <n v="4.666666666666667"/>
  </r>
  <r>
    <s v="C1311"/>
    <s v="Kavya Rao Labs"/>
    <x v="5"/>
    <x v="0"/>
    <s v="Chennai"/>
    <n v="80"/>
    <s v="2024-03-25"/>
    <s v="Partner"/>
    <s v="S5326"/>
    <x v="1"/>
    <s v="Monthly"/>
    <n v="5"/>
    <n v="64.680000000000007"/>
    <s v="2024-03-25"/>
    <s v="2024-06-02"/>
    <x v="0"/>
    <n v="2.25"/>
    <n v="0.75"/>
    <n v="1"/>
    <n v="6"/>
  </r>
  <r>
    <s v="C1312"/>
    <s v="Saanvi Bose Labs"/>
    <x v="3"/>
    <x v="4"/>
    <s v="Singapore"/>
    <n v="150"/>
    <s v="2023-12-05"/>
    <s v="Outbound"/>
    <s v="S5327"/>
    <x v="0"/>
    <s v="Annual"/>
    <n v="9"/>
    <n v="326.36"/>
    <s v="2023-12-05"/>
    <m/>
    <x v="1"/>
    <n v="4.6923076923076934"/>
    <n v="2.0769230769230771"/>
    <n v="5"/>
    <n v="5.2"/>
  </r>
  <r>
    <s v="C1313"/>
    <s v="Krishna Joshi Solutions"/>
    <x v="4"/>
    <x v="1"/>
    <s v="Manchester"/>
    <n v="80"/>
    <s v="2023-06-30"/>
    <s v="Partner"/>
    <s v="S5328"/>
    <x v="3"/>
    <s v="Monthly"/>
    <n v="5"/>
    <n v="1978.68"/>
    <s v="2023-06-30"/>
    <m/>
    <x v="1"/>
    <n v="16.578947368421051"/>
    <n v="9.2631578947368425"/>
    <n v="9"/>
    <n v="6"/>
  </r>
  <r>
    <s v="C1314"/>
    <s v="Isha Joshi Industries"/>
    <x v="6"/>
    <x v="1"/>
    <s v="London"/>
    <n v="150"/>
    <s v="2023-01-05"/>
    <s v="Paid Ads"/>
    <s v="S5329"/>
    <x v="0"/>
    <s v="Monthly"/>
    <n v="8"/>
    <n v="310.44"/>
    <s v="2023-01-05"/>
    <m/>
    <x v="1"/>
    <n v="13.66666666666667"/>
    <n v="7.541666666666667"/>
    <n v="2"/>
    <n v="6"/>
  </r>
  <r>
    <s v="C1315"/>
    <s v="Arjun Das Solutions"/>
    <x v="4"/>
    <x v="0"/>
    <s v="Pune"/>
    <n v="35"/>
    <s v="2024-07-13"/>
    <s v="Organic Search"/>
    <s v="S5330"/>
    <x v="1"/>
    <s v="Monthly"/>
    <n v="2"/>
    <n v="52.92"/>
    <s v="2024-07-13"/>
    <m/>
    <x v="2"/>
    <n v="15.33333333333333"/>
    <n v="9"/>
    <n v="1"/>
    <n v="6"/>
  </r>
  <r>
    <s v="C1316"/>
    <s v="Deepak Reddy Group"/>
    <x v="5"/>
    <x v="0"/>
    <s v="Pune"/>
    <n v="80"/>
    <s v="2023-08-28"/>
    <s v="Events"/>
    <s v="S5331"/>
    <x v="0"/>
    <s v="Annual"/>
    <n v="10"/>
    <n v="342.28"/>
    <s v="2023-08-28"/>
    <m/>
    <x v="1"/>
    <n v="3.2941176470588229"/>
    <n v="1.411764705882353"/>
    <n v="2"/>
    <n v="4.5"/>
  </r>
  <r>
    <s v="C1317"/>
    <s v="Divya Patel Systems"/>
    <x v="2"/>
    <x v="0"/>
    <s v="Mumbai"/>
    <n v="80"/>
    <s v="2024-08-17"/>
    <s v="Outbound"/>
    <s v="S5332"/>
    <x v="0"/>
    <s v="Monthly"/>
    <n v="9"/>
    <n v="326.36"/>
    <s v="2024-08-17"/>
    <m/>
    <x v="1"/>
    <n v="5.8"/>
    <n v="3"/>
    <n v="4"/>
    <n v="4.75"/>
  </r>
  <r>
    <s v="C1318"/>
    <s v="Vihaan Sharma Labs"/>
    <x v="7"/>
    <x v="0"/>
    <s v="Mumbai"/>
    <n v="35"/>
    <s v="2023-09-28"/>
    <s v="Paid Ads"/>
    <s v="S5333"/>
    <x v="1"/>
    <s v="Annual"/>
    <n v="5"/>
    <n v="64.680000000000007"/>
    <s v="2023-09-28"/>
    <m/>
    <x v="1"/>
    <n v="8.125"/>
    <n v="4.375"/>
    <n v="2"/>
    <n v="6"/>
  </r>
  <r>
    <s v="C1319"/>
    <s v="Divya Bose Group"/>
    <x v="1"/>
    <x v="0"/>
    <s v="Delhi"/>
    <n v="35"/>
    <s v="2024-08-05"/>
    <s v="Organic Search"/>
    <s v="S5334"/>
    <x v="0"/>
    <s v="Annual"/>
    <n v="6"/>
    <n v="294.52"/>
    <s v="2024-08-05"/>
    <m/>
    <x v="1"/>
    <n v="11.8"/>
    <n v="6.4"/>
    <n v="4"/>
    <n v="5.5"/>
  </r>
  <r>
    <s v="C1320"/>
    <s v="Vihaan Nair Labs"/>
    <x v="2"/>
    <x v="0"/>
    <s v="Pune"/>
    <n v="1200"/>
    <s v="2024-05-16"/>
    <s v="Paid Ads"/>
    <s v="S5335"/>
    <x v="0"/>
    <s v="Annual"/>
    <n v="9"/>
    <n v="326.36"/>
    <s v="2024-05-16"/>
    <s v="2025-02-17"/>
    <x v="0"/>
    <n v="13.5"/>
    <n v="7.875"/>
    <n v="1"/>
    <n v="3"/>
  </r>
  <r>
    <s v="C1321"/>
    <s v="Nikita Sharma Group"/>
    <x v="3"/>
    <x v="1"/>
    <s v="London"/>
    <n v="1200"/>
    <s v="2024-08-03"/>
    <s v="Paid Ads"/>
    <s v="S5336"/>
    <x v="1"/>
    <s v="Monthly"/>
    <n v="6"/>
    <n v="68.599999999999994"/>
    <s v="2024-08-03"/>
    <m/>
    <x v="1"/>
    <n v="11.6"/>
    <n v="6.8"/>
    <n v="5"/>
    <n v="4.5999999999999996"/>
  </r>
  <r>
    <s v="C1322"/>
    <s v="Arjun Khan Systems"/>
    <x v="1"/>
    <x v="0"/>
    <s v="Hyderabad"/>
    <n v="400"/>
    <s v="2023-09-12"/>
    <s v="Events"/>
    <s v="S5337"/>
    <x v="0"/>
    <s v="Monthly"/>
    <n v="7"/>
    <n v="294.52"/>
    <s v="2023-09-12"/>
    <m/>
    <x v="1"/>
    <n v="11.6875"/>
    <n v="6.4375"/>
    <n v="5"/>
    <n v="5.8"/>
  </r>
  <r>
    <s v="C1323"/>
    <s v="Pooja Verma Labs"/>
    <x v="4"/>
    <x v="4"/>
    <s v="Singapore"/>
    <n v="12"/>
    <s v="2023-10-30"/>
    <s v="Paid Ads"/>
    <s v="S5338"/>
    <x v="1"/>
    <s v="Annual"/>
    <n v="6"/>
    <n v="68.599999999999994"/>
    <s v="2023-10-30"/>
    <m/>
    <x v="1"/>
    <n v="7.9333333333333336"/>
    <n v="4.7333333333333334"/>
    <n v="4"/>
    <n v="7"/>
  </r>
  <r>
    <s v="C1324"/>
    <s v="Karthik Reddy Technologies"/>
    <x v="7"/>
    <x v="0"/>
    <s v="Bengaluru"/>
    <n v="400"/>
    <s v="2023-02-10"/>
    <s v="Referral"/>
    <s v="S5339"/>
    <x v="3"/>
    <s v="Annual"/>
    <n v="9"/>
    <n v="2458.36"/>
    <s v="2023-02-10"/>
    <m/>
    <x v="1"/>
    <n v="20.173913043478262"/>
    <n v="12.21739130434783"/>
    <n v="4"/>
    <n v="4.75"/>
  </r>
  <r>
    <s v="C1325"/>
    <s v="Ishaan Reddy Group"/>
    <x v="6"/>
    <x v="1"/>
    <s v="London"/>
    <n v="3000"/>
    <s v="2023-05-09"/>
    <s v="Paid Ads"/>
    <s v="S5340"/>
    <x v="3"/>
    <s v="Annual"/>
    <n v="8"/>
    <n v="2338.44"/>
    <s v="2023-05-09"/>
    <m/>
    <x v="1"/>
    <n v="4.55"/>
    <n v="2.4"/>
    <n v="4"/>
    <n v="5"/>
  </r>
  <r>
    <s v="C1326"/>
    <s v="Naveen Sharma Labs"/>
    <x v="4"/>
    <x v="1"/>
    <s v="Manchester"/>
    <n v="80"/>
    <s v="2023-03-26"/>
    <s v="Organic Search"/>
    <s v="S5341"/>
    <x v="1"/>
    <s v="Annual"/>
    <n v="8"/>
    <n v="76.44"/>
    <s v="2023-03-26"/>
    <m/>
    <x v="1"/>
    <n v="17.04545454545455"/>
    <n v="9.0909090909090917"/>
    <n v="1"/>
    <n v="4"/>
  </r>
  <r>
    <s v="C1327"/>
    <s v="Nikita Menon Group"/>
    <x v="7"/>
    <x v="0"/>
    <s v="Chennai"/>
    <n v="1200"/>
    <s v="2023-01-09"/>
    <s v="Organic Search"/>
    <s v="S5342"/>
    <x v="3"/>
    <s v="Annual"/>
    <n v="6"/>
    <n v="2098.6"/>
    <s v="2023-01-09"/>
    <m/>
    <x v="1"/>
    <n v="11.70833333333333"/>
    <n v="7.5"/>
    <n v="5"/>
    <n v="5.4"/>
  </r>
  <r>
    <s v="C1328"/>
    <s v="Karthik Nair Labs"/>
    <x v="7"/>
    <x v="3"/>
    <s v="Austin"/>
    <n v="12"/>
    <s v="2023-05-26"/>
    <s v="Paid Ads"/>
    <s v="S5343"/>
    <x v="0"/>
    <s v="Annual"/>
    <n v="10"/>
    <n v="342.28"/>
    <s v="2023-05-26"/>
    <s v="2024-04-11"/>
    <x v="0"/>
    <n v="9.5833333333333339"/>
    <n v="6"/>
    <n v="4"/>
    <n v="3.75"/>
  </r>
  <r>
    <s v="C1329"/>
    <s v="Kavya Das Group"/>
    <x v="1"/>
    <x v="0"/>
    <s v="Mumbai"/>
    <n v="400"/>
    <s v="2024-06-11"/>
    <s v="Referral"/>
    <s v="S5344"/>
    <x v="1"/>
    <s v="Monthly"/>
    <n v="8"/>
    <n v="76.44"/>
    <s v="2024-06-11"/>
    <m/>
    <x v="1"/>
    <n v="3.285714285714286"/>
    <n v="1.142857142857143"/>
    <n v="3"/>
    <n v="4.333333333333333"/>
  </r>
  <r>
    <s v="C1330"/>
    <s v="Ananya Sharma Group"/>
    <x v="1"/>
    <x v="3"/>
    <s v="Austin"/>
    <n v="12"/>
    <s v="2023-05-14"/>
    <s v="Outbound"/>
    <s v="S5345"/>
    <x v="2"/>
    <s v="Monthly"/>
    <n v="2"/>
    <n v="538.91999999999996"/>
    <s v="2023-05-14"/>
    <m/>
    <x v="1"/>
    <n v="3.05"/>
    <n v="1.25"/>
    <n v="1"/>
    <n v="3"/>
  </r>
  <r>
    <s v="C1331"/>
    <s v="Krishna Bose Industries"/>
    <x v="1"/>
    <x v="2"/>
    <s v="Abu Dhabi"/>
    <n v="150"/>
    <s v="2023-08-24"/>
    <s v="Events"/>
    <s v="S5346"/>
    <x v="0"/>
    <s v="Monthly"/>
    <n v="8"/>
    <n v="310.44"/>
    <s v="2023-08-24"/>
    <s v="2024-12-30"/>
    <x v="0"/>
    <n v="9.5294117647058822"/>
    <n v="5.117647058823529"/>
    <n v="2"/>
    <n v="5.5"/>
  </r>
  <r>
    <s v="C1332"/>
    <s v="Diya Singh Labs"/>
    <x v="1"/>
    <x v="0"/>
    <s v="Chennai"/>
    <n v="35"/>
    <s v="2024-11-11"/>
    <s v="Events"/>
    <s v="S5347"/>
    <x v="2"/>
    <s v="Monthly"/>
    <n v="4"/>
    <n v="618.76"/>
    <s v="2024-11-11"/>
    <m/>
    <x v="1"/>
    <n v="23.5"/>
    <n v="9.5"/>
    <n v="1"/>
    <n v="3"/>
  </r>
  <r>
    <s v="C1333"/>
    <s v="Aditya Nair Systems"/>
    <x v="6"/>
    <x v="1"/>
    <s v="London"/>
    <n v="12"/>
    <s v="2023-05-18"/>
    <s v="Referral"/>
    <s v="S5348"/>
    <x v="0"/>
    <s v="Annual"/>
    <n v="6"/>
    <n v="278.60000000000002"/>
    <s v="2023-05-18"/>
    <s v="2024-06-04"/>
    <x v="0"/>
    <n v="11.142857142857141"/>
    <n v="6.2857142857142856"/>
    <n v="5"/>
    <n v="4.4000000000000004"/>
  </r>
  <r>
    <s v="C1334"/>
    <s v="Sai Menon Group"/>
    <x v="4"/>
    <x v="0"/>
    <s v="Hyderabad"/>
    <n v="12"/>
    <s v="2025-01-02"/>
    <s v="Partner"/>
    <s v="S5349"/>
    <x v="3"/>
    <s v="Monthly"/>
    <n v="5"/>
    <n v="1978.68"/>
    <s v="2025-01-02"/>
    <m/>
    <x v="1"/>
    <m/>
    <m/>
    <n v="1"/>
    <n v="1"/>
  </r>
  <r>
    <s v="C1335"/>
    <s v="Karthik Rao Systems"/>
    <x v="3"/>
    <x v="0"/>
    <s v="Chennai"/>
    <n v="1200"/>
    <s v="2023-08-16"/>
    <s v="Organic Search"/>
    <s v="S5350"/>
    <x v="2"/>
    <s v="Monthly"/>
    <n v="8"/>
    <n v="778.44"/>
    <s v="2023-08-16"/>
    <m/>
    <x v="1"/>
    <n v="21.82352941176471"/>
    <n v="13.23529411764706"/>
    <n v="4"/>
    <n v="4.75"/>
  </r>
  <r>
    <s v="C1336"/>
    <s v="Sai Reddy Industries"/>
    <x v="5"/>
    <x v="2"/>
    <s v="Abu Dhabi"/>
    <n v="150"/>
    <s v="2023-06-03"/>
    <s v="Partner"/>
    <s v="S5351"/>
    <x v="2"/>
    <s v="Monthly"/>
    <n v="5"/>
    <n v="658.68"/>
    <s v="2023-06-03"/>
    <m/>
    <x v="1"/>
    <n v="7.1052631578947372"/>
    <n v="3.5789473684210531"/>
    <n v="1"/>
    <n v="2"/>
  </r>
  <r>
    <s v="C1337"/>
    <s v="Rohan Patel Systems"/>
    <x v="1"/>
    <x v="3"/>
    <s v="Seattle"/>
    <n v="400"/>
    <s v="2024-01-16"/>
    <s v="Organic Search"/>
    <s v="S5352"/>
    <x v="0"/>
    <s v="Monthly"/>
    <n v="3"/>
    <n v="230.84"/>
    <s v="2024-01-16"/>
    <s v="2025-03-08"/>
    <x v="0"/>
    <n v="2"/>
    <n v="0.58333333333333337"/>
    <m/>
    <m/>
  </r>
  <r>
    <s v="C1338"/>
    <s v="Aadhya Singh Systems"/>
    <x v="4"/>
    <x v="3"/>
    <s v="Austin"/>
    <n v="150"/>
    <s v="2023-04-20"/>
    <s v="Referral"/>
    <s v="S5353"/>
    <x v="0"/>
    <s v="Annual"/>
    <n v="10"/>
    <n v="342.28"/>
    <s v="2023-04-20"/>
    <m/>
    <x v="1"/>
    <n v="15.428571428571431"/>
    <n v="8.8095238095238102"/>
    <n v="6"/>
    <n v="7.333333333333333"/>
  </r>
  <r>
    <s v="C1339"/>
    <s v="Nikita Iyer Group"/>
    <x v="5"/>
    <x v="2"/>
    <s v="Abu Dhabi"/>
    <n v="80"/>
    <s v="2023-02-23"/>
    <s v="Partner"/>
    <s v="S5354"/>
    <x v="0"/>
    <s v="Annual"/>
    <n v="6"/>
    <n v="278.60000000000002"/>
    <s v="2023-02-23"/>
    <m/>
    <x v="1"/>
    <n v="8.6521739130434785"/>
    <n v="5.0869565217391308"/>
    <n v="5"/>
    <n v="4"/>
  </r>
  <r>
    <s v="C1340"/>
    <s v="Zoya Joshi Technologies"/>
    <x v="6"/>
    <x v="0"/>
    <s v="Mumbai"/>
    <n v="400"/>
    <s v="2024-03-06"/>
    <s v="Referral"/>
    <s v="S5355"/>
    <x v="1"/>
    <s v="Annual"/>
    <n v="11"/>
    <n v="88.2"/>
    <s v="2024-03-06"/>
    <m/>
    <x v="1"/>
    <n v="16.7"/>
    <n v="10.5"/>
    <n v="2"/>
    <n v="6.5"/>
  </r>
  <r>
    <s v="C1341"/>
    <s v="Isha Singh Group"/>
    <x v="6"/>
    <x v="0"/>
    <s v="Delhi"/>
    <n v="150"/>
    <s v="2023-03-06"/>
    <s v="Paid Ads"/>
    <s v="S5356"/>
    <x v="3"/>
    <s v="Monthly"/>
    <n v="7"/>
    <n v="2218.52"/>
    <s v="2023-03-06"/>
    <m/>
    <x v="1"/>
    <n v="15.59090909090909"/>
    <n v="8.3636363636363633"/>
    <n v="4"/>
    <n v="5.5"/>
  </r>
  <r>
    <s v="C1342"/>
    <s v="Divya Joshi Systems"/>
    <x v="6"/>
    <x v="0"/>
    <s v="Pune"/>
    <n v="12"/>
    <s v="2023-05-29"/>
    <s v="Referral"/>
    <s v="S5357"/>
    <x v="1"/>
    <s v="Annual"/>
    <n v="8"/>
    <n v="76.44"/>
    <s v="2023-05-29"/>
    <m/>
    <x v="1"/>
    <n v="6.65"/>
    <n v="3.75"/>
    <n v="4"/>
    <n v="6.5"/>
  </r>
  <r>
    <s v="C1343"/>
    <s v="Isha Iyer Technologies"/>
    <x v="4"/>
    <x v="3"/>
    <s v="Boston"/>
    <n v="80"/>
    <s v="2024-12-12"/>
    <s v="Referral"/>
    <s v="S5358"/>
    <x v="1"/>
    <s v="Monthly"/>
    <n v="7"/>
    <n v="72.52"/>
    <s v="2024-12-12"/>
    <m/>
    <x v="1"/>
    <n v="6"/>
    <n v="2"/>
    <m/>
    <m/>
  </r>
  <r>
    <s v="C1344"/>
    <s v="Naveen Verma Technologies"/>
    <x v="1"/>
    <x v="0"/>
    <s v="Pune"/>
    <n v="400"/>
    <s v="2023-08-31"/>
    <s v="Paid Ads"/>
    <s v="S5359"/>
    <x v="0"/>
    <s v="Annual"/>
    <n v="5"/>
    <n v="262.68"/>
    <s v="2023-08-31"/>
    <m/>
    <x v="1"/>
    <n v="19.235294117647062"/>
    <n v="10.58823529411765"/>
    <n v="2"/>
    <n v="8"/>
  </r>
  <r>
    <s v="C1345"/>
    <s v="Rahul Gupta Group"/>
    <x v="2"/>
    <x v="2"/>
    <s v="Abu Dhabi"/>
    <n v="150"/>
    <s v="2024-02-03"/>
    <s v="Paid Ads"/>
    <s v="S5360"/>
    <x v="3"/>
    <s v="Monthly"/>
    <n v="5"/>
    <n v="294.52"/>
    <s v="2024-02-03"/>
    <m/>
    <x v="1"/>
    <n v="23.63636363636364"/>
    <n v="11.72727272727273"/>
    <n v="2"/>
    <n v="7.5"/>
  </r>
  <r>
    <s v="C1346"/>
    <s v="Krishna Sharma Group"/>
    <x v="2"/>
    <x v="2"/>
    <s v="Abu Dhabi"/>
    <n v="1200"/>
    <s v="2024-10-09"/>
    <s v="Partner"/>
    <s v="S5361"/>
    <x v="0"/>
    <s v="Annual"/>
    <n v="9"/>
    <n v="326.36"/>
    <s v="2024-10-09"/>
    <m/>
    <x v="1"/>
    <n v="18.666666666666671"/>
    <n v="15"/>
    <n v="6"/>
    <n v="6"/>
  </r>
  <r>
    <s v="C1347"/>
    <s v="Deepak Khan Solutions"/>
    <x v="4"/>
    <x v="0"/>
    <s v="Hyderabad"/>
    <n v="80"/>
    <s v="2023-11-03"/>
    <s v="Referral"/>
    <s v="S5362"/>
    <x v="1"/>
    <s v="Annual"/>
    <n v="7"/>
    <n v="72.52"/>
    <s v="2023-11-03"/>
    <m/>
    <x v="1"/>
    <n v="18.571428571428569"/>
    <n v="9.5714285714285712"/>
    <m/>
    <m/>
  </r>
  <r>
    <s v="C1348"/>
    <s v="Aditya Menon Labs"/>
    <x v="6"/>
    <x v="3"/>
    <s v="Boston"/>
    <n v="12"/>
    <s v="2023-11-16"/>
    <s v="Referral"/>
    <s v="S5363"/>
    <x v="2"/>
    <s v="Monthly"/>
    <n v="4"/>
    <n v="618.76"/>
    <s v="2023-11-16"/>
    <m/>
    <x v="1"/>
    <n v="6.5"/>
    <n v="3.4285714285714279"/>
    <n v="3"/>
    <n v="5.666666666666667"/>
  </r>
  <r>
    <s v="C1349"/>
    <s v="Krishna Joshi Systems"/>
    <x v="1"/>
    <x v="0"/>
    <s v="Chennai"/>
    <n v="80"/>
    <s v="2024-02-20"/>
    <s v="Referral"/>
    <s v="S5364"/>
    <x v="3"/>
    <s v="Annual"/>
    <n v="9"/>
    <n v="2458.36"/>
    <s v="2024-02-20"/>
    <m/>
    <x v="1"/>
    <n v="7"/>
    <n v="4.0909090909090908"/>
    <n v="3"/>
    <n v="5.333333333333333"/>
  </r>
  <r>
    <s v="C1350"/>
    <s v="Deepak Gupta Labs"/>
    <x v="5"/>
    <x v="0"/>
    <s v="Hyderabad"/>
    <n v="400"/>
    <s v="2023-07-28"/>
    <s v="Referral"/>
    <s v="S5365"/>
    <x v="3"/>
    <s v="Annual"/>
    <n v="5"/>
    <n v="1978.68"/>
    <s v="2023-07-28"/>
    <m/>
    <x v="1"/>
    <n v="18.888888888888889"/>
    <n v="11"/>
    <n v="4"/>
    <n v="5.5"/>
  </r>
  <r>
    <s v="C1351"/>
    <s v="Priya Gupta Systems"/>
    <x v="2"/>
    <x v="0"/>
    <s v="Pune"/>
    <n v="150"/>
    <s v="2023-04-17"/>
    <s v="Partner"/>
    <s v="S5366"/>
    <x v="1"/>
    <s v="Monthly"/>
    <n v="8"/>
    <n v="76.44"/>
    <s v="2023-04-17"/>
    <m/>
    <x v="1"/>
    <n v="4.7619047619047619"/>
    <n v="2.3809523809523809"/>
    <n v="5"/>
    <n v="5.4"/>
  </r>
  <r>
    <s v="C1352"/>
    <s v="Aditya Patel Industries"/>
    <x v="4"/>
    <x v="0"/>
    <s v="Hyderabad"/>
    <n v="1200"/>
    <s v="2024-03-14"/>
    <s v="Organic Search"/>
    <s v="S5367"/>
    <x v="3"/>
    <s v="Monthly"/>
    <n v="10"/>
    <n v="2578.2800000000002"/>
    <s v="2024-03-14"/>
    <m/>
    <x v="1"/>
    <n v="9.5"/>
    <n v="6"/>
    <n v="4"/>
    <n v="6"/>
  </r>
  <r>
    <s v="C1353"/>
    <s v="Farhan Gupta Labs"/>
    <x v="2"/>
    <x v="2"/>
    <s v="Abu Dhabi"/>
    <n v="400"/>
    <s v="2025-01-05"/>
    <s v="Referral"/>
    <s v="S5368"/>
    <x v="1"/>
    <s v="Annual"/>
    <n v="6"/>
    <n v="68.599999999999994"/>
    <s v="2025-01-05"/>
    <m/>
    <x v="1"/>
    <m/>
    <m/>
    <n v="2"/>
    <n v="6.5"/>
  </r>
  <r>
    <s v="C1354"/>
    <s v="Vivaan Reddy Group"/>
    <x v="2"/>
    <x v="0"/>
    <s v="Delhi"/>
    <n v="35"/>
    <s v="2023-01-07"/>
    <s v="Referral"/>
    <s v="S5369"/>
    <x v="1"/>
    <s v="Monthly"/>
    <n v="14"/>
    <n v="99.96"/>
    <s v="2023-01-07"/>
    <m/>
    <x v="1"/>
    <n v="15.75"/>
    <n v="7.708333333333333"/>
    <n v="4"/>
    <n v="5.5"/>
  </r>
  <r>
    <s v="C1355"/>
    <s v="Nikita Reddy Technologies"/>
    <x v="1"/>
    <x v="1"/>
    <s v="Manchester"/>
    <n v="400"/>
    <s v="2024-10-08"/>
    <s v="Paid Ads"/>
    <s v="S5370"/>
    <x v="2"/>
    <s v="Annual"/>
    <n v="11"/>
    <n v="294.52"/>
    <s v="2024-10-08"/>
    <s v="2026-04-05"/>
    <x v="0"/>
    <n v="8.6666666666666661"/>
    <n v="4"/>
    <n v="4"/>
    <n v="5"/>
  </r>
  <r>
    <s v="C1356"/>
    <s v="Divya Joshi Industries"/>
    <x v="2"/>
    <x v="0"/>
    <s v="Pune"/>
    <n v="35"/>
    <s v="2024-02-20"/>
    <s v="Paid Ads"/>
    <s v="S5371"/>
    <x v="2"/>
    <s v="Annual"/>
    <n v="4"/>
    <n v="618.76"/>
    <s v="2024-02-20"/>
    <m/>
    <x v="1"/>
    <n v="8.2727272727272734"/>
    <n v="4.6363636363636367"/>
    <n v="2"/>
    <n v="5"/>
  </r>
  <r>
    <s v="C1357"/>
    <s v="Saanvi Menon Labs"/>
    <x v="7"/>
    <x v="0"/>
    <s v="Mumbai"/>
    <n v="400"/>
    <s v="2023-01-20"/>
    <s v="Referral"/>
    <s v="S5372"/>
    <x v="0"/>
    <s v="Monthly"/>
    <n v="5"/>
    <n v="262.68"/>
    <s v="2023-01-20"/>
    <m/>
    <x v="1"/>
    <n v="9.7083333333333339"/>
    <n v="5.583333333333333"/>
    <n v="3"/>
    <n v="6.333333333333333"/>
  </r>
  <r>
    <s v="C1358"/>
    <s v="Diya Das Systems"/>
    <x v="3"/>
    <x v="0"/>
    <s v="Pune"/>
    <n v="3000"/>
    <s v="2023-07-20"/>
    <s v="Paid Ads"/>
    <s v="S5373"/>
    <x v="1"/>
    <s v="Monthly"/>
    <n v="5"/>
    <n v="64.680000000000007"/>
    <s v="2023-07-20"/>
    <s v="2024-10-07"/>
    <x v="0"/>
    <n v="11.1875"/>
    <n v="5.75"/>
    <n v="4"/>
    <n v="6"/>
  </r>
  <r>
    <s v="C1359"/>
    <s v="Aman Rao Group"/>
    <x v="1"/>
    <x v="0"/>
    <s v="Chennai"/>
    <n v="400"/>
    <s v="2025-01-24"/>
    <s v="Outbound"/>
    <s v="S5374"/>
    <x v="2"/>
    <s v="Annual"/>
    <n v="5"/>
    <n v="658.68"/>
    <s v="2025-01-24"/>
    <m/>
    <x v="1"/>
    <m/>
    <m/>
    <n v="3"/>
    <n v="6.666666666666667"/>
  </r>
  <r>
    <s v="C1360"/>
    <s v="Deepak Gupta Group"/>
    <x v="5"/>
    <x v="0"/>
    <s v="Pune"/>
    <n v="12"/>
    <s v="2024-08-04"/>
    <s v="Referral"/>
    <s v="S5375"/>
    <x v="1"/>
    <s v="Monthly"/>
    <n v="4"/>
    <n v="60.76"/>
    <s v="2024-08-04"/>
    <m/>
    <x v="1"/>
    <n v="6.2"/>
    <n v="3"/>
    <n v="2"/>
    <n v="4.5"/>
  </r>
  <r>
    <s v="C1361"/>
    <s v="Meera Khan Systems"/>
    <x v="2"/>
    <x v="3"/>
    <s v="Boston"/>
    <n v="35"/>
    <s v="2024-10-27"/>
    <s v="Partner"/>
    <s v="S5376"/>
    <x v="2"/>
    <s v="Annual"/>
    <n v="5"/>
    <n v="658.68"/>
    <s v="2024-10-27"/>
    <m/>
    <x v="1"/>
    <n v="19"/>
    <n v="7"/>
    <n v="1"/>
    <n v="5"/>
  </r>
  <r>
    <s v="C1362"/>
    <s v="Aditya Patel Solutions"/>
    <x v="5"/>
    <x v="0"/>
    <s v="Mumbai"/>
    <n v="12"/>
    <s v="2023-03-31"/>
    <s v="Outbound"/>
    <s v="S5377"/>
    <x v="1"/>
    <s v="Monthly"/>
    <n v="5"/>
    <n v="64.680000000000007"/>
    <s v="2023-03-31"/>
    <m/>
    <x v="1"/>
    <n v="12.36363636363636"/>
    <n v="6.1818181818181817"/>
    <n v="6"/>
    <n v="3.333333333333333"/>
  </r>
  <r>
    <s v="C1363"/>
    <s v="Pooja Gupta Group"/>
    <x v="3"/>
    <x v="0"/>
    <s v="Pune"/>
    <n v="35"/>
    <s v="2024-08-10"/>
    <s v="Events"/>
    <s v="S5378"/>
    <x v="0"/>
    <s v="Annual"/>
    <n v="8"/>
    <n v="310.44"/>
    <s v="2024-08-10"/>
    <m/>
    <x v="1"/>
    <n v="6.8"/>
    <n v="3.2"/>
    <n v="6"/>
    <n v="5.666666666666667"/>
  </r>
  <r>
    <s v="C1364"/>
    <s v="Aarav Bose Labs"/>
    <x v="4"/>
    <x v="0"/>
    <s v="Delhi"/>
    <n v="150"/>
    <s v="2023-12-01"/>
    <s v="Paid Ads"/>
    <s v="S5379"/>
    <x v="3"/>
    <s v="Monthly"/>
    <n v="5"/>
    <n v="1978.68"/>
    <s v="2023-12-01"/>
    <m/>
    <x v="2"/>
    <n v="12.23076923076923"/>
    <n v="6"/>
    <n v="4"/>
    <n v="4.5"/>
  </r>
  <r>
    <s v="C1365"/>
    <s v="Diya Joshi Industries"/>
    <x v="1"/>
    <x v="0"/>
    <s v="Hyderabad"/>
    <n v="35"/>
    <s v="2024-06-26"/>
    <s v="Events"/>
    <s v="S5380"/>
    <x v="2"/>
    <s v="Monthly"/>
    <n v="8"/>
    <n v="778.44"/>
    <s v="2024-06-26"/>
    <m/>
    <x v="1"/>
    <n v="20.142857142857139"/>
    <n v="11.571428571428569"/>
    <n v="1"/>
    <n v="1"/>
  </r>
  <r>
    <s v="C1366"/>
    <s v="Kavya Verma Labs"/>
    <x v="5"/>
    <x v="0"/>
    <s v="Chennai"/>
    <n v="35"/>
    <s v="2024-06-05"/>
    <s v="Partner"/>
    <s v="S5381"/>
    <x v="0"/>
    <s v="Monthly"/>
    <n v="6"/>
    <n v="278.60000000000002"/>
    <s v="2024-06-05"/>
    <m/>
    <x v="1"/>
    <n v="15.28571428571429"/>
    <n v="8.4285714285714288"/>
    <n v="6"/>
    <n v="5.666666666666667"/>
  </r>
  <r>
    <s v="C1367"/>
    <s v="Kiara Gupta Industries"/>
    <x v="3"/>
    <x v="0"/>
    <s v="Delhi"/>
    <n v="400"/>
    <s v="2024-11-01"/>
    <s v="Paid Ads"/>
    <s v="S5382"/>
    <x v="1"/>
    <s v="Monthly"/>
    <n v="8"/>
    <n v="76.44"/>
    <s v="2024-11-01"/>
    <s v="2026-01-26"/>
    <x v="0"/>
    <n v="15"/>
    <n v="9.5"/>
    <n v="4"/>
    <n v="5.25"/>
  </r>
  <r>
    <s v="C1368"/>
    <s v="Priya Singh Solutions"/>
    <x v="6"/>
    <x v="0"/>
    <s v="Chennai"/>
    <n v="12"/>
    <s v="2024-09-09"/>
    <s v="Organic Search"/>
    <s v="S5383"/>
    <x v="1"/>
    <s v="Annual"/>
    <n v="2"/>
    <n v="52.92"/>
    <s v="2024-09-09"/>
    <m/>
    <x v="1"/>
    <n v="14.75"/>
    <n v="7.75"/>
    <n v="3"/>
    <n v="7.333333333333333"/>
  </r>
  <r>
    <s v="C1369"/>
    <s v="Meera Reddy Industries"/>
    <x v="2"/>
    <x v="3"/>
    <s v="Seattle"/>
    <n v="80"/>
    <s v="2024-11-29"/>
    <s v="Referral"/>
    <s v="S5384"/>
    <x v="3"/>
    <s v="Monthly"/>
    <n v="6"/>
    <n v="2098.6"/>
    <s v="2024-11-29"/>
    <m/>
    <x v="1"/>
    <n v="19.5"/>
    <n v="13.5"/>
    <n v="5"/>
    <n v="5.2"/>
  </r>
  <r>
    <s v="C1370"/>
    <s v="Arun Joshi Group"/>
    <x v="3"/>
    <x v="0"/>
    <s v="Pune"/>
    <n v="12"/>
    <s v="2023-11-03"/>
    <s v="Paid Ads"/>
    <s v="S5385"/>
    <x v="2"/>
    <s v="Annual"/>
    <n v="5"/>
    <n v="658.68"/>
    <s v="2023-11-03"/>
    <m/>
    <x v="1"/>
    <n v="8.3571428571428577"/>
    <n v="4"/>
    <n v="2"/>
    <n v="5.5"/>
  </r>
  <r>
    <s v="C1371"/>
    <s v="Nikita Singh Technologies"/>
    <x v="1"/>
    <x v="0"/>
    <s v="Pune"/>
    <n v="400"/>
    <s v="2023-10-08"/>
    <s v="Organic Search"/>
    <s v="S5386"/>
    <x v="0"/>
    <s v="Annual"/>
    <n v="5"/>
    <n v="262.68"/>
    <s v="2023-10-08"/>
    <m/>
    <x v="1"/>
    <n v="14.2"/>
    <n v="7.6"/>
    <n v="4"/>
    <n v="6.5"/>
  </r>
  <r>
    <s v="C1372"/>
    <s v="Isha Joshi Group"/>
    <x v="2"/>
    <x v="0"/>
    <s v="Hyderabad"/>
    <n v="150"/>
    <s v="2024-07-15"/>
    <s v="Outbound"/>
    <s v="S5387"/>
    <x v="0"/>
    <s v="Monthly"/>
    <n v="7"/>
    <n v="294.52"/>
    <s v="2024-07-15"/>
    <m/>
    <x v="1"/>
    <n v="22.5"/>
    <n v="11.33333333333333"/>
    <n v="3"/>
    <n v="5.666666666666667"/>
  </r>
  <r>
    <s v="C1373"/>
    <s v="Naveen Patel Group"/>
    <x v="3"/>
    <x v="0"/>
    <s v="Pune"/>
    <n v="400"/>
    <s v="2023-09-20"/>
    <s v="Referral"/>
    <s v="S5388"/>
    <x v="1"/>
    <s v="Annual"/>
    <n v="4"/>
    <n v="60.76"/>
    <s v="2023-09-20"/>
    <m/>
    <x v="1"/>
    <n v="16.1875"/>
    <n v="9.0625"/>
    <n v="1"/>
    <n v="5"/>
  </r>
  <r>
    <s v="C1374"/>
    <s v="Ananya Joshi Industries"/>
    <x v="1"/>
    <x v="3"/>
    <s v="Seattle"/>
    <n v="80"/>
    <s v="2023-12-11"/>
    <s v="Events"/>
    <s v="S5389"/>
    <x v="2"/>
    <s v="Monthly"/>
    <n v="8"/>
    <n v="778.44"/>
    <s v="2023-12-11"/>
    <m/>
    <x v="1"/>
    <n v="14"/>
    <n v="6.8461538461538458"/>
    <n v="3"/>
    <n v="6.333333333333333"/>
  </r>
  <r>
    <s v="C1375"/>
    <s v="Tara Bose Group"/>
    <x v="6"/>
    <x v="4"/>
    <s v="Singapore"/>
    <n v="3000"/>
    <s v="2023-03-30"/>
    <s v="Paid Ads"/>
    <s v="S5390"/>
    <x v="1"/>
    <s v="Monthly"/>
    <n v="6"/>
    <n v="68.599999999999994"/>
    <s v="2023-03-30"/>
    <m/>
    <x v="1"/>
    <n v="2.954545454545455"/>
    <n v="1.454545454545455"/>
    <n v="4"/>
    <n v="4.75"/>
  </r>
  <r>
    <s v="C1376"/>
    <s v="Vivaan Khan Systems"/>
    <x v="7"/>
    <x v="0"/>
    <s v="Delhi"/>
    <n v="400"/>
    <s v="2023-06-29"/>
    <s v="Partner"/>
    <s v="S5391"/>
    <x v="0"/>
    <s v="Annual"/>
    <n v="8"/>
    <n v="310.44"/>
    <s v="2023-06-29"/>
    <m/>
    <x v="1"/>
    <n v="20.526315789473681"/>
    <n v="12.47368421052632"/>
    <n v="1"/>
    <n v="7"/>
  </r>
  <r>
    <s v="C1377"/>
    <s v="Zoya Bose Technologies"/>
    <x v="3"/>
    <x v="4"/>
    <s v="Singapore"/>
    <n v="35"/>
    <s v="2024-07-09"/>
    <s v="Organic Search"/>
    <s v="S5392"/>
    <x v="2"/>
    <s v="Annual"/>
    <n v="6"/>
    <n v="698.6"/>
    <s v="2024-07-09"/>
    <s v="2025-06-15"/>
    <x v="0"/>
    <n v="10.16666666666667"/>
    <n v="4.666666666666667"/>
    <n v="5"/>
    <n v="6.2"/>
  </r>
  <r>
    <s v="C1378"/>
    <s v="Sneha Reddy Solutions"/>
    <x v="3"/>
    <x v="0"/>
    <s v="Bengaluru"/>
    <n v="80"/>
    <s v="2023-11-27"/>
    <s v="Outbound"/>
    <s v="S5393"/>
    <x v="0"/>
    <s v="Monthly"/>
    <n v="9"/>
    <n v="326.36"/>
    <s v="2023-11-27"/>
    <s v="2025-04-02"/>
    <x v="0"/>
    <n v="1.642857142857143"/>
    <n v="0.5"/>
    <n v="4"/>
    <n v="3"/>
  </r>
  <r>
    <s v="C1378"/>
    <s v="Sneha Reddy Solutions"/>
    <x v="3"/>
    <x v="0"/>
    <s v="Bengaluru"/>
    <n v="80"/>
    <s v="2023-11-27"/>
    <s v="Outbound"/>
    <s v="S5394"/>
    <x v="1"/>
    <s v="Monthly"/>
    <n v="3"/>
    <n v="56.84"/>
    <s v="2025-04-24"/>
    <m/>
    <x v="1"/>
    <n v="1.642857142857143"/>
    <n v="0.5"/>
    <n v="4"/>
    <n v="3"/>
  </r>
  <r>
    <s v="C1379"/>
    <s v="Pooja Rao Labs"/>
    <x v="7"/>
    <x v="1"/>
    <s v="Manchester"/>
    <n v="1200"/>
    <s v="2024-02-09"/>
    <s v="Referral"/>
    <s v="S5395"/>
    <x v="1"/>
    <s v="Annual"/>
    <n v="4"/>
    <n v="60.76"/>
    <s v="2024-02-09"/>
    <m/>
    <x v="1"/>
    <n v="13.90909090909091"/>
    <n v="8.2727272727272734"/>
    <n v="6"/>
    <n v="6.833333333333333"/>
  </r>
  <r>
    <s v="C1380"/>
    <s v="Ishaan Reddy Labs"/>
    <x v="7"/>
    <x v="4"/>
    <s v="Singapore"/>
    <n v="80"/>
    <s v="2024-06-11"/>
    <s v="Partner"/>
    <s v="S5396"/>
    <x v="3"/>
    <s v="Monthly"/>
    <n v="2"/>
    <n v="1618.92"/>
    <s v="2024-06-11"/>
    <s v="2025-12-15"/>
    <x v="0"/>
    <n v="14"/>
    <n v="8"/>
    <n v="4"/>
    <n v="6.25"/>
  </r>
  <r>
    <s v="C1381"/>
    <s v="Diya Nair Systems"/>
    <x v="7"/>
    <x v="3"/>
    <s v="Seattle"/>
    <n v="150"/>
    <s v="2023-05-27"/>
    <s v="Paid Ads"/>
    <s v="S5397"/>
    <x v="3"/>
    <s v="Monthly"/>
    <n v="7"/>
    <n v="2218.52"/>
    <s v="2023-05-27"/>
    <s v="2025-01-08"/>
    <x v="0"/>
    <n v="6.1"/>
    <n v="3.75"/>
    <n v="3"/>
    <n v="6.666666666666667"/>
  </r>
  <r>
    <s v="C1382"/>
    <s v="Sai Singh Systems"/>
    <x v="3"/>
    <x v="0"/>
    <s v="Pune"/>
    <n v="400"/>
    <s v="2024-09-25"/>
    <s v="Outbound"/>
    <s v="S5398"/>
    <x v="1"/>
    <s v="Monthly"/>
    <n v="6"/>
    <n v="68.599999999999994"/>
    <s v="2024-09-25"/>
    <m/>
    <x v="1"/>
    <n v="14.25"/>
    <n v="10.25"/>
    <n v="1"/>
    <n v="8"/>
  </r>
  <r>
    <s v="C1383"/>
    <s v="Myra Patel Solutions"/>
    <x v="3"/>
    <x v="3"/>
    <s v="Boston"/>
    <n v="12"/>
    <s v="2024-08-04"/>
    <s v="Partner"/>
    <s v="S5399"/>
    <x v="1"/>
    <s v="Monthly"/>
    <n v="12"/>
    <n v="92.12"/>
    <s v="2024-08-04"/>
    <m/>
    <x v="1"/>
    <n v="3"/>
    <n v="1.4"/>
    <n v="6"/>
    <n v="5.833333333333333"/>
  </r>
  <r>
    <s v="C1384"/>
    <s v="Arjun Joshi Technologies"/>
    <x v="1"/>
    <x v="0"/>
    <s v="Pune"/>
    <n v="1200"/>
    <s v="2024-08-26"/>
    <s v="Organic Search"/>
    <s v="S5400"/>
    <x v="3"/>
    <s v="Monthly"/>
    <n v="6"/>
    <n v="2098.6"/>
    <s v="2024-08-26"/>
    <m/>
    <x v="1"/>
    <n v="12.2"/>
    <n v="7.4"/>
    <n v="3"/>
    <n v="7"/>
  </r>
  <r>
    <s v="C1385"/>
    <s v="Vihaan Das Group"/>
    <x v="3"/>
    <x v="0"/>
    <s v="Hyderabad"/>
    <n v="12"/>
    <s v="2024-11-14"/>
    <s v="Paid Ads"/>
    <s v="S5401"/>
    <x v="3"/>
    <s v="Annual"/>
    <n v="7"/>
    <n v="2218.52"/>
    <s v="2024-11-14"/>
    <s v="2025-01-30"/>
    <x v="0"/>
    <n v="1.5"/>
    <n v="0.5"/>
    <n v="5"/>
    <n v="5.2"/>
  </r>
  <r>
    <s v="C1386"/>
    <s v="Naveen Singh Technologies"/>
    <x v="7"/>
    <x v="3"/>
    <s v="Seattle"/>
    <n v="12"/>
    <s v="2023-01-21"/>
    <s v="Referral"/>
    <s v="S5402"/>
    <x v="1"/>
    <s v="Monthly"/>
    <n v="7"/>
    <n v="72.52"/>
    <s v="2023-01-21"/>
    <m/>
    <x v="1"/>
    <n v="15.95833333333333"/>
    <n v="8.4166666666666661"/>
    <n v="6"/>
    <n v="5.333333333333333"/>
  </r>
  <r>
    <s v="C1387"/>
    <s v="Arun Nair Solutions"/>
    <x v="1"/>
    <x v="0"/>
    <s v="Chennai"/>
    <n v="35"/>
    <s v="2024-03-20"/>
    <s v="Outbound"/>
    <s v="S5403"/>
    <x v="0"/>
    <s v="Annual"/>
    <n v="8"/>
    <n v="310.44"/>
    <s v="2024-03-20"/>
    <m/>
    <x v="1"/>
    <n v="19.8"/>
    <n v="12"/>
    <n v="4"/>
    <n v="6.75"/>
  </r>
  <r>
    <s v="C1388"/>
    <s v="Sai Bose Group"/>
    <x v="2"/>
    <x v="0"/>
    <s v="Mumbai"/>
    <n v="400"/>
    <s v="2023-06-08"/>
    <s v="Paid Ads"/>
    <s v="S5404"/>
    <x v="0"/>
    <s v="Monthly"/>
    <n v="8"/>
    <n v="310.44"/>
    <s v="2023-06-08"/>
    <m/>
    <x v="1"/>
    <n v="10.789473684210529"/>
    <n v="5.5263157894736841"/>
    <n v="1"/>
    <n v="3"/>
  </r>
  <r>
    <s v="C1389"/>
    <s v="Meera Sharma Industries"/>
    <x v="5"/>
    <x v="2"/>
    <s v="Dubai"/>
    <n v="400"/>
    <s v="2024-01-01"/>
    <s v="Outbound"/>
    <s v="S5405"/>
    <x v="2"/>
    <s v="Monthly"/>
    <n v="7"/>
    <n v="738.52"/>
    <s v="2024-01-01"/>
    <m/>
    <x v="1"/>
    <n v="11.41666666666667"/>
    <n v="5.5"/>
    <n v="2"/>
    <n v="3.5"/>
  </r>
  <r>
    <s v="C1390"/>
    <s v="Rahul Reddy Labs"/>
    <x v="2"/>
    <x v="1"/>
    <s v="London"/>
    <n v="150"/>
    <s v="2024-03-01"/>
    <s v="Outbound"/>
    <s v="S5406"/>
    <x v="0"/>
    <s v="Monthly"/>
    <n v="6"/>
    <n v="278.60000000000002"/>
    <s v="2024-03-01"/>
    <s v="2025-11-07"/>
    <x v="0"/>
    <n v="1.8"/>
    <n v="0.5"/>
    <n v="5"/>
    <n v="6.6"/>
  </r>
  <r>
    <s v="C1391"/>
    <s v="Nikita Verma Industries"/>
    <x v="3"/>
    <x v="0"/>
    <s v="Chennai"/>
    <n v="12"/>
    <s v="2023-11-11"/>
    <s v="Paid Ads"/>
    <s v="S5407"/>
    <x v="1"/>
    <s v="Monthly"/>
    <n v="6"/>
    <n v="68.599999999999994"/>
    <s v="2023-11-11"/>
    <m/>
    <x v="1"/>
    <n v="2.1428571428571428"/>
    <n v="0.9285714285714286"/>
    <n v="5"/>
    <n v="5.2"/>
  </r>
  <r>
    <s v="C1392"/>
    <s v="Ananya Rao Industries"/>
    <x v="7"/>
    <x v="2"/>
    <s v="Dubai"/>
    <n v="400"/>
    <s v="2023-04-08"/>
    <s v="Outbound"/>
    <s v="S5408"/>
    <x v="1"/>
    <s v="Monthly"/>
    <n v="5"/>
    <n v="64.680000000000007"/>
    <s v="2023-04-08"/>
    <m/>
    <x v="1"/>
    <n v="18.571428571428569"/>
    <n v="11.38095238095238"/>
    <n v="2"/>
    <n v="4.5"/>
  </r>
  <r>
    <s v="C1393"/>
    <s v="Sneha Bose Technologies"/>
    <x v="4"/>
    <x v="2"/>
    <s v="Dubai"/>
    <n v="35"/>
    <s v="2023-10-06"/>
    <s v="Outbound"/>
    <s v="S5409"/>
    <x v="0"/>
    <s v="Annual"/>
    <n v="6"/>
    <n v="278.60000000000002"/>
    <s v="2023-10-06"/>
    <m/>
    <x v="1"/>
    <n v="22.333333333333329"/>
    <n v="12.2"/>
    <n v="3"/>
    <n v="6.333333333333333"/>
  </r>
  <r>
    <s v="C1394"/>
    <s v="Sai Menon Group"/>
    <x v="2"/>
    <x v="4"/>
    <s v="Singapore"/>
    <n v="12"/>
    <s v="2023-05-07"/>
    <s v="Partner"/>
    <s v="S5410"/>
    <x v="0"/>
    <s v="Monthly"/>
    <n v="6"/>
    <n v="278.60000000000002"/>
    <s v="2023-05-07"/>
    <m/>
    <x v="1"/>
    <n v="13.45"/>
    <n v="7.15"/>
    <n v="3"/>
    <n v="4"/>
  </r>
  <r>
    <s v="C1395"/>
    <s v="Deepak Patel Labs"/>
    <x v="5"/>
    <x v="4"/>
    <s v="Singapore"/>
    <n v="12"/>
    <s v="2024-11-05"/>
    <s v="Paid Ads"/>
    <s v="S5411"/>
    <x v="3"/>
    <s v="Monthly"/>
    <n v="15"/>
    <n v="3177.88"/>
    <s v="2024-11-05"/>
    <m/>
    <x v="1"/>
    <n v="12"/>
    <n v="7.5"/>
    <n v="5"/>
    <n v="5.6"/>
  </r>
  <r>
    <s v="C1396"/>
    <s v="Sai Joshi Systems"/>
    <x v="1"/>
    <x v="0"/>
    <s v="Bengaluru"/>
    <n v="80"/>
    <s v="2023-12-18"/>
    <s v="Events"/>
    <s v="S5412"/>
    <x v="0"/>
    <s v="Monthly"/>
    <n v="9"/>
    <n v="326.36"/>
    <s v="2023-12-18"/>
    <s v="2024-06-08"/>
    <x v="0"/>
    <n v="9.5714285714285712"/>
    <n v="4.4285714285714288"/>
    <n v="3"/>
    <n v="6.333333333333333"/>
  </r>
  <r>
    <s v="C1397"/>
    <s v="Divya Reddy Group"/>
    <x v="3"/>
    <x v="2"/>
    <s v="Dubai"/>
    <n v="80"/>
    <s v="2024-12-20"/>
    <s v="Paid Ads"/>
    <s v="S5413"/>
    <x v="2"/>
    <s v="Annual"/>
    <n v="12"/>
    <n v="938.12"/>
    <s v="2024-12-20"/>
    <m/>
    <x v="1"/>
    <n v="13"/>
    <n v="8"/>
    <n v="3"/>
    <n v="6.333333333333333"/>
  </r>
  <r>
    <s v="C1398"/>
    <s v="Zoya Rao Group"/>
    <x v="6"/>
    <x v="3"/>
    <s v="Boston"/>
    <n v="3000"/>
    <s v="2024-01-21"/>
    <s v="Events"/>
    <s v="S5414"/>
    <x v="0"/>
    <s v="Annual"/>
    <n v="9"/>
    <n v="326.36"/>
    <s v="2024-01-21"/>
    <s v="2025-01-18"/>
    <x v="0"/>
    <n v="3.416666666666667"/>
    <n v="1.25"/>
    <n v="4"/>
    <n v="4.75"/>
  </r>
  <r>
    <s v="C1399"/>
    <s v="Aman Patel Technologies"/>
    <x v="6"/>
    <x v="3"/>
    <s v="Boston"/>
    <n v="80"/>
    <s v="2024-03-29"/>
    <s v="Paid Ads"/>
    <s v="S5415"/>
    <x v="2"/>
    <s v="Annual"/>
    <n v="5"/>
    <n v="658.68"/>
    <s v="2024-03-29"/>
    <s v="2025-01-22"/>
    <x v="0"/>
    <n v="8.1999999999999993"/>
    <n v="5.4"/>
    <n v="1"/>
    <n v="4"/>
  </r>
  <r>
    <s v="C1400"/>
    <s v="Arjun Bose Solutions"/>
    <x v="5"/>
    <x v="0"/>
    <s v="Delhi"/>
    <n v="80"/>
    <s v="2024-10-18"/>
    <s v="Events"/>
    <s v="S5416"/>
    <x v="0"/>
    <s v="Annual"/>
    <n v="7"/>
    <n v="294.52"/>
    <s v="2024-10-18"/>
    <m/>
    <x v="1"/>
    <n v="10.66666666666667"/>
    <n v="7"/>
    <n v="2"/>
    <n v="8"/>
  </r>
  <r>
    <s v="C1401"/>
    <s v="Naveen Gupta Solutions"/>
    <x v="1"/>
    <x v="0"/>
    <s v="Bengaluru"/>
    <n v="80"/>
    <s v="2024-03-15"/>
    <s v="Events"/>
    <s v="S5417"/>
    <x v="0"/>
    <s v="Annual"/>
    <n v="10"/>
    <n v="342.28"/>
    <s v="2024-03-15"/>
    <s v="2024-12-15"/>
    <x v="0"/>
    <n v="2.7"/>
    <n v="1"/>
    <n v="4"/>
    <n v="5.25"/>
  </r>
  <r>
    <s v="C1402"/>
    <s v="Rohan Reddy Industries"/>
    <x v="4"/>
    <x v="0"/>
    <s v="Chennai"/>
    <n v="35"/>
    <s v="2024-12-03"/>
    <s v="Partner"/>
    <s v="S5418"/>
    <x v="0"/>
    <s v="Annual"/>
    <n v="5"/>
    <n v="262.68"/>
    <s v="2024-12-03"/>
    <s v="2026-04-02"/>
    <x v="0"/>
    <n v="13"/>
    <n v="10"/>
    <n v="3"/>
    <n v="6.666666666666667"/>
  </r>
  <r>
    <s v="C1403"/>
    <s v="Sai Khan Labs"/>
    <x v="7"/>
    <x v="0"/>
    <s v="Chennai"/>
    <n v="35"/>
    <s v="2024-08-15"/>
    <s v="Organic Search"/>
    <s v="S5419"/>
    <x v="0"/>
    <s v="Monthly"/>
    <n v="6"/>
    <n v="278.60000000000002"/>
    <s v="2024-08-15"/>
    <m/>
    <x v="1"/>
    <n v="16.2"/>
    <n v="11.6"/>
    <n v="4"/>
    <n v="6.75"/>
  </r>
  <r>
    <s v="C1404"/>
    <s v="Rahul Nair Labs"/>
    <x v="3"/>
    <x v="0"/>
    <s v="Mumbai"/>
    <n v="35"/>
    <s v="2024-03-08"/>
    <s v="Partner"/>
    <s v="S5420"/>
    <x v="2"/>
    <s v="Annual"/>
    <n v="8"/>
    <n v="778.44"/>
    <s v="2024-03-08"/>
    <m/>
    <x v="1"/>
    <n v="9.6999999999999993"/>
    <n v="6.2"/>
    <n v="4"/>
    <n v="6.5"/>
  </r>
  <r>
    <s v="C1405"/>
    <s v="Deepak Gupta Labs"/>
    <x v="2"/>
    <x v="0"/>
    <s v="Chennai"/>
    <n v="35"/>
    <s v="2024-04-08"/>
    <s v="Outbound"/>
    <s v="S5421"/>
    <x v="0"/>
    <s v="Annual"/>
    <n v="4"/>
    <n v="246.76"/>
    <s v="2024-04-08"/>
    <s v="2025-04-22"/>
    <x v="0"/>
    <n v="4.4444444444444446"/>
    <n v="2.8888888888888888"/>
    <n v="1"/>
    <n v="6"/>
  </r>
  <r>
    <s v="C1406"/>
    <s v="Vihaan Joshi Group"/>
    <x v="5"/>
    <x v="1"/>
    <s v="London"/>
    <n v="35"/>
    <s v="2024-04-19"/>
    <s v="Organic Search"/>
    <s v="S5422"/>
    <x v="0"/>
    <s v="Annual"/>
    <n v="6"/>
    <n v="278.60000000000002"/>
    <s v="2024-04-19"/>
    <m/>
    <x v="1"/>
    <n v="6.2222222222222223"/>
    <n v="3.1111111111111112"/>
    <n v="5"/>
    <n v="6"/>
  </r>
  <r>
    <s v="C1407"/>
    <s v="Meera Gupta Labs"/>
    <x v="3"/>
    <x v="0"/>
    <s v="Hyderabad"/>
    <n v="80"/>
    <s v="2024-10-23"/>
    <s v="Partner"/>
    <s v="S5423"/>
    <x v="2"/>
    <s v="Monthly"/>
    <n v="7"/>
    <n v="738.52"/>
    <s v="2024-10-23"/>
    <m/>
    <x v="1"/>
    <n v="19.333333333333329"/>
    <n v="12.33333333333333"/>
    <n v="2"/>
    <n v="6.5"/>
  </r>
  <r>
    <s v="C1408"/>
    <s v="Aarav Reddy Labs"/>
    <x v="1"/>
    <x v="0"/>
    <s v="Delhi"/>
    <n v="12"/>
    <s v="2023-10-21"/>
    <s v="Events"/>
    <s v="S5424"/>
    <x v="1"/>
    <s v="Monthly"/>
    <n v="6"/>
    <n v="68.599999999999994"/>
    <s v="2023-10-21"/>
    <m/>
    <x v="1"/>
    <n v="7.666666666666667"/>
    <n v="4.2"/>
    <n v="3"/>
    <n v="5.333333333333333"/>
  </r>
  <r>
    <s v="C1409"/>
    <s v="Saanvi Iyer Industries"/>
    <x v="0"/>
    <x v="3"/>
    <s v="Boston"/>
    <n v="80"/>
    <s v="2023-05-22"/>
    <s v="Organic Search"/>
    <s v="S5425"/>
    <x v="1"/>
    <s v="Annual"/>
    <n v="6"/>
    <n v="68.599999999999994"/>
    <s v="2023-05-22"/>
    <s v="2024-02-04"/>
    <x v="0"/>
    <n v="7.7"/>
    <n v="4.5999999999999996"/>
    <n v="2"/>
    <n v="8.5"/>
  </r>
  <r>
    <s v="C1410"/>
    <s v="Isha Khan Technologies"/>
    <x v="7"/>
    <x v="0"/>
    <s v="Hyderabad"/>
    <n v="12"/>
    <s v="2024-03-18"/>
    <s v="Organic Search"/>
    <s v="S5426"/>
    <x v="0"/>
    <s v="Monthly"/>
    <n v="9"/>
    <n v="326.36"/>
    <s v="2024-03-18"/>
    <s v="2024-07-11"/>
    <x v="0"/>
    <n v="12.4"/>
    <n v="7.4"/>
    <n v="2"/>
    <n v="5"/>
  </r>
  <r>
    <s v="C1411"/>
    <s v="Saanvi Verma Technologies"/>
    <x v="5"/>
    <x v="0"/>
    <s v="Chennai"/>
    <n v="150"/>
    <s v="2025-01-07"/>
    <s v="Organic Search"/>
    <s v="S5427"/>
    <x v="0"/>
    <s v="Annual"/>
    <n v="5"/>
    <n v="262.68"/>
    <s v="2025-01-07"/>
    <m/>
    <x v="1"/>
    <m/>
    <m/>
    <n v="5"/>
    <n v="6"/>
  </r>
  <r>
    <s v="C1412"/>
    <s v="Farhan Verma Solutions"/>
    <x v="4"/>
    <x v="0"/>
    <s v="Delhi"/>
    <n v="1200"/>
    <s v="2024-05-15"/>
    <s v="Referral"/>
    <s v="S5428"/>
    <x v="1"/>
    <s v="Monthly"/>
    <n v="8"/>
    <n v="76.44"/>
    <s v="2024-05-15"/>
    <s v="2026-01-02"/>
    <x v="0"/>
    <n v="4.75"/>
    <n v="2.375"/>
    <n v="1"/>
    <n v="6"/>
  </r>
  <r>
    <s v="C1412"/>
    <s v="Farhan Verma Solutions"/>
    <x v="4"/>
    <x v="0"/>
    <s v="Delhi"/>
    <n v="1200"/>
    <s v="2024-05-15"/>
    <s v="Referral"/>
    <s v="S5429"/>
    <x v="3"/>
    <s v="Annual"/>
    <n v="9"/>
    <n v="2458.36"/>
    <s v="2026-02-17"/>
    <s v="2027-10-17"/>
    <x v="0"/>
    <n v="4.75"/>
    <n v="2.375"/>
    <n v="1"/>
    <n v="6"/>
  </r>
  <r>
    <s v="C1413"/>
    <s v="Kiara Joshi Solutions"/>
    <x v="1"/>
    <x v="0"/>
    <s v="Bengaluru"/>
    <n v="80"/>
    <s v="2023-09-11"/>
    <s v="Organic Search"/>
    <s v="S5430"/>
    <x v="0"/>
    <s v="Monthly"/>
    <n v="4"/>
    <n v="246.76"/>
    <s v="2023-09-11"/>
    <m/>
    <x v="1"/>
    <n v="7.0625"/>
    <n v="3.5625"/>
    <n v="3"/>
    <n v="7.666666666666667"/>
  </r>
  <r>
    <s v="C1414"/>
    <s v="Zoya Joshi Solutions"/>
    <x v="5"/>
    <x v="1"/>
    <s v="Manchester"/>
    <n v="150"/>
    <s v="2023-12-30"/>
    <s v="Referral"/>
    <s v="S5431"/>
    <x v="0"/>
    <s v="Monthly"/>
    <n v="9"/>
    <n v="326.36"/>
    <s v="2023-12-30"/>
    <s v="2024-05-01"/>
    <x v="0"/>
    <n v="13"/>
    <n v="7.166666666666667"/>
    <n v="4"/>
    <n v="4.5"/>
  </r>
  <r>
    <s v="C1415"/>
    <s v="Sneha Rao Group"/>
    <x v="2"/>
    <x v="4"/>
    <s v="Singapore"/>
    <n v="12"/>
    <s v="2024-02-12"/>
    <s v="Events"/>
    <s v="S5432"/>
    <x v="2"/>
    <s v="Annual"/>
    <n v="8"/>
    <n v="778.44"/>
    <s v="2024-02-12"/>
    <m/>
    <x v="1"/>
    <n v="8.3636363636363633"/>
    <n v="4.6363636363636367"/>
    <n v="3"/>
    <n v="4.333333333333333"/>
  </r>
  <r>
    <s v="C1416"/>
    <s v="Sneha Sharma Systems"/>
    <x v="6"/>
    <x v="3"/>
    <s v="Austin"/>
    <n v="400"/>
    <s v="2023-01-04"/>
    <s v="Partner"/>
    <s v="S5433"/>
    <x v="2"/>
    <s v="Annual"/>
    <n v="5"/>
    <n v="658.68"/>
    <s v="2023-01-04"/>
    <m/>
    <x v="1"/>
    <n v="17.083333333333329"/>
    <n v="8.5"/>
    <n v="4"/>
    <n v="3.75"/>
  </r>
  <r>
    <s v="C1417"/>
    <s v="Naveen Patel Technologies"/>
    <x v="6"/>
    <x v="0"/>
    <s v="Chennai"/>
    <n v="80"/>
    <s v="2023-04-07"/>
    <s v="Events"/>
    <s v="S5434"/>
    <x v="0"/>
    <s v="Monthly"/>
    <n v="9"/>
    <n v="326.36"/>
    <s v="2023-04-07"/>
    <s v="2023-05-31"/>
    <x v="0"/>
    <n v="7.5"/>
    <n v="2.5"/>
    <n v="4"/>
    <n v="5"/>
  </r>
  <r>
    <s v="C1418"/>
    <s v="Naveen Patel Technologies"/>
    <x v="4"/>
    <x v="0"/>
    <s v="Delhi"/>
    <n v="80"/>
    <s v="2023-12-17"/>
    <s v="Partner"/>
    <s v="S5435"/>
    <x v="0"/>
    <s v="Annual"/>
    <n v="9"/>
    <n v="326.36"/>
    <s v="2023-12-17"/>
    <m/>
    <x v="1"/>
    <n v="7.384615384615385"/>
    <n v="4.2307692307692308"/>
    <n v="1"/>
    <n v="2"/>
  </r>
  <r>
    <s v="C1419"/>
    <s v="Diya Nair Industries"/>
    <x v="4"/>
    <x v="1"/>
    <s v="London"/>
    <n v="150"/>
    <s v="2024-11-29"/>
    <s v="Organic Search"/>
    <s v="S5436"/>
    <x v="0"/>
    <s v="Monthly"/>
    <n v="7"/>
    <n v="294.52"/>
    <s v="2024-11-29"/>
    <m/>
    <x v="1"/>
    <n v="16.5"/>
    <n v="11"/>
    <n v="1"/>
    <n v="8"/>
  </r>
  <r>
    <s v="C1420"/>
    <s v="Arun Gupta Technologies"/>
    <x v="6"/>
    <x v="3"/>
    <s v="Seattle"/>
    <n v="3000"/>
    <s v="2023-03-07"/>
    <s v="Organic Search"/>
    <s v="S5437"/>
    <x v="0"/>
    <s v="Monthly"/>
    <n v="6"/>
    <n v="278.60000000000002"/>
    <s v="2023-03-07"/>
    <m/>
    <x v="1"/>
    <n v="5.4545454545454541"/>
    <n v="2.6818181818181821"/>
    <n v="3"/>
    <n v="6.3333333333333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6D434-FC23-40B5-B30B-6FEB7EED57D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J4:K10" firstHeaderRow="1" firstDataRow="1" firstDataCol="1"/>
  <pivotFields count="20">
    <pivotField showAll="0"/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RR" fld="12" baseField="0" baseItem="0"/>
  </dataFields>
  <chartFormats count="6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8B806-44BC-427B-9012-8282A26E059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4:H13" firstHeaderRow="1" firstDataRow="1" firstDataCol="1"/>
  <pivotFields count="20">
    <pivotField dataField="1" showAll="0"/>
    <pivotField showAll="0"/>
    <pivotField axis="axisRow" showAll="0">
      <items count="9">
        <item x="5"/>
        <item x="1"/>
        <item x="6"/>
        <item x="3"/>
        <item x="4"/>
        <item x="7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608C8-3247-406C-B3D8-4E39ED358A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RR" fld="12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3DAE5-7540-40E5-9381-612E197342C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4:E8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B201F-E3BC-47C6-A48D-28A4585755DA}" name="Table1" displayName="Table1" ref="A4:E5" totalsRowShown="0" headerRowDxfId="5" headerRowBorderDxfId="7" tableBorderDxfId="8" totalsRowBorderDxfId="6">
  <autoFilter ref="A4:E5" xr:uid="{B9DB201F-E3BC-47C6-A48D-28A4585755DA}"/>
  <tableColumns count="5">
    <tableColumn id="1" xr3:uid="{8F32F2F4-C794-4652-8106-5839B4C1C3E6}" name="KPI" dataDxfId="4"/>
    <tableColumn id="2" xr3:uid="{36619FFF-93C9-465E-B4BE-A0BF39C1E38B}" name="TOTAL MRR" dataDxfId="3">
      <calculatedColumnFormula>SUM(Sheet1!M:M)</calculatedColumnFormula>
    </tableColumn>
    <tableColumn id="3" xr3:uid="{14B15E38-EB5D-4811-AE05-CABC720AE864}" name="CHRUN RATE" dataDxfId="2" dataCellStyle="Percent">
      <calculatedColumnFormula>COUNTIF(Sheet1!P:P,"Churned")/COUNTA(Sheet1!P:P)</calculatedColumnFormula>
    </tableColumn>
    <tableColumn id="4" xr3:uid="{A8C70F15-F4EE-4D8D-9815-A5D437AAD020}" name="AVG REVENUE PER ACCOUNT" dataDxfId="1">
      <calculatedColumnFormula>AVERAGE(Sheet1!M:M)</calculatedColumnFormula>
    </tableColumn>
    <tableColumn id="5" xr3:uid="{5C73DDB1-3019-4CB0-9B95-AAC8F128273E}" name="AVG LOGINS" dataDxfId="0">
      <calculatedColumnFormula>AVERAGE(Sheet1!Q:Q)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9FCC-372D-45AA-B3A0-393E7B83D627}">
  <dimension ref="A4:K13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88671875" bestFit="1" customWidth="1"/>
    <col min="3" max="3" width="4.77734375" customWidth="1"/>
    <col min="4" max="5" width="18.88671875" bestFit="1" customWidth="1"/>
    <col min="6" max="6" width="6.33203125" customWidth="1"/>
    <col min="8" max="8" width="18.88671875" bestFit="1" customWidth="1"/>
    <col min="9" max="9" width="5.5546875" customWidth="1"/>
    <col min="10" max="10" width="12.5546875" bestFit="1" customWidth="1"/>
    <col min="11" max="11" width="11.44140625" bestFit="1" customWidth="1"/>
  </cols>
  <sheetData>
    <row r="4" spans="1:11" x14ac:dyDescent="0.3">
      <c r="A4" s="1" t="s">
        <v>1754</v>
      </c>
      <c r="B4" t="s">
        <v>1756</v>
      </c>
      <c r="D4" s="1" t="s">
        <v>1754</v>
      </c>
      <c r="E4" t="s">
        <v>1757</v>
      </c>
      <c r="G4" s="1" t="s">
        <v>1754</v>
      </c>
      <c r="H4" t="s">
        <v>1757</v>
      </c>
      <c r="J4" s="1" t="s">
        <v>1754</v>
      </c>
      <c r="K4" t="s">
        <v>1756</v>
      </c>
    </row>
    <row r="5" spans="1:11" x14ac:dyDescent="0.3">
      <c r="A5" s="2" t="s">
        <v>63</v>
      </c>
      <c r="B5">
        <v>61132.6</v>
      </c>
      <c r="D5" s="2" t="s">
        <v>40</v>
      </c>
      <c r="E5">
        <v>301</v>
      </c>
      <c r="G5" s="2" t="s">
        <v>82</v>
      </c>
      <c r="H5">
        <v>53</v>
      </c>
      <c r="J5" s="2" t="s">
        <v>23</v>
      </c>
      <c r="K5">
        <v>137854.23999999993</v>
      </c>
    </row>
    <row r="6" spans="1:11" x14ac:dyDescent="0.3">
      <c r="A6" s="2" t="s">
        <v>70</v>
      </c>
      <c r="B6">
        <v>149229.87999999998</v>
      </c>
      <c r="D6" s="2" t="s">
        <v>31</v>
      </c>
      <c r="E6">
        <v>126</v>
      </c>
      <c r="G6" s="2" t="s">
        <v>34</v>
      </c>
      <c r="H6">
        <v>70</v>
      </c>
      <c r="J6" s="2" t="s">
        <v>138</v>
      </c>
      <c r="K6">
        <v>16892.680000000004</v>
      </c>
    </row>
    <row r="7" spans="1:11" x14ac:dyDescent="0.3">
      <c r="A7" s="2" t="s">
        <v>28</v>
      </c>
      <c r="B7">
        <v>42920.319999999978</v>
      </c>
      <c r="D7" s="2" t="s">
        <v>495</v>
      </c>
      <c r="E7">
        <v>10</v>
      </c>
      <c r="G7" s="2" t="s">
        <v>97</v>
      </c>
      <c r="H7">
        <v>52</v>
      </c>
      <c r="J7" s="2" t="s">
        <v>43</v>
      </c>
      <c r="K7">
        <v>34250.519999999997</v>
      </c>
    </row>
    <row r="8" spans="1:11" x14ac:dyDescent="0.3">
      <c r="A8" s="2" t="s">
        <v>56</v>
      </c>
      <c r="B8">
        <v>10082.760000000013</v>
      </c>
      <c r="D8" s="2" t="s">
        <v>1755</v>
      </c>
      <c r="E8">
        <v>437</v>
      </c>
      <c r="G8" s="2" t="s">
        <v>59</v>
      </c>
      <c r="H8">
        <v>66</v>
      </c>
      <c r="J8" s="2" t="s">
        <v>35</v>
      </c>
      <c r="K8">
        <v>38263.919999999998</v>
      </c>
    </row>
    <row r="9" spans="1:11" x14ac:dyDescent="0.3">
      <c r="A9" s="2" t="s">
        <v>1755</v>
      </c>
      <c r="B9">
        <v>263365.56</v>
      </c>
      <c r="G9" s="2" t="s">
        <v>67</v>
      </c>
      <c r="H9">
        <v>62</v>
      </c>
      <c r="J9" s="2" t="s">
        <v>127</v>
      </c>
      <c r="K9">
        <v>36104.199999999975</v>
      </c>
    </row>
    <row r="10" spans="1:11" x14ac:dyDescent="0.3">
      <c r="G10" s="2" t="s">
        <v>111</v>
      </c>
      <c r="H10">
        <v>56</v>
      </c>
      <c r="J10" s="2" t="s">
        <v>1755</v>
      </c>
      <c r="K10">
        <v>263365.55999999988</v>
      </c>
    </row>
    <row r="11" spans="1:11" x14ac:dyDescent="0.3">
      <c r="G11" s="2" t="s">
        <v>51</v>
      </c>
      <c r="H11">
        <v>68</v>
      </c>
    </row>
    <row r="12" spans="1:11" x14ac:dyDescent="0.3">
      <c r="G12" s="2" t="s">
        <v>22</v>
      </c>
      <c r="H12">
        <v>10</v>
      </c>
    </row>
    <row r="13" spans="1:11" x14ac:dyDescent="0.3">
      <c r="G13" s="2" t="s">
        <v>1755</v>
      </c>
      <c r="H13">
        <v>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8"/>
  <sheetViews>
    <sheetView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80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6</v>
      </c>
      <c r="M2">
        <v>278.60000000000002</v>
      </c>
      <c r="N2" t="s">
        <v>25</v>
      </c>
      <c r="O2" t="s">
        <v>30</v>
      </c>
      <c r="P2" t="s">
        <v>31</v>
      </c>
      <c r="Q2">
        <v>9.25</v>
      </c>
      <c r="R2">
        <v>4.5</v>
      </c>
      <c r="S2">
        <v>4</v>
      </c>
      <c r="T2">
        <v>6.5</v>
      </c>
    </row>
    <row r="3" spans="1:20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>
        <v>12</v>
      </c>
      <c r="G3" t="s">
        <v>37</v>
      </c>
      <c r="H3" t="s">
        <v>38</v>
      </c>
      <c r="I3" t="s">
        <v>39</v>
      </c>
      <c r="J3" t="s">
        <v>28</v>
      </c>
      <c r="K3" t="s">
        <v>29</v>
      </c>
      <c r="L3">
        <v>4</v>
      </c>
      <c r="M3">
        <v>246.76</v>
      </c>
      <c r="N3" t="s">
        <v>37</v>
      </c>
      <c r="P3" t="s">
        <v>40</v>
      </c>
      <c r="Q3">
        <v>19.72727272727273</v>
      </c>
      <c r="R3">
        <v>12.18181818181818</v>
      </c>
      <c r="S3">
        <v>4</v>
      </c>
      <c r="T3">
        <v>7</v>
      </c>
    </row>
    <row r="4" spans="1:20" x14ac:dyDescent="0.3">
      <c r="A4" t="s">
        <v>41</v>
      </c>
      <c r="B4" t="s">
        <v>42</v>
      </c>
      <c r="C4" t="s">
        <v>34</v>
      </c>
      <c r="D4" t="s">
        <v>43</v>
      </c>
      <c r="E4" t="s">
        <v>44</v>
      </c>
      <c r="F4">
        <v>1200</v>
      </c>
      <c r="G4" t="s">
        <v>45</v>
      </c>
      <c r="H4" t="s">
        <v>46</v>
      </c>
      <c r="I4" t="s">
        <v>47</v>
      </c>
      <c r="J4" t="s">
        <v>28</v>
      </c>
      <c r="K4" t="s">
        <v>48</v>
      </c>
      <c r="L4">
        <v>6</v>
      </c>
      <c r="M4">
        <v>278.60000000000002</v>
      </c>
      <c r="N4" t="s">
        <v>45</v>
      </c>
      <c r="P4" t="s">
        <v>40</v>
      </c>
      <c r="Q4">
        <v>11.6875</v>
      </c>
      <c r="R4">
        <v>7.25</v>
      </c>
      <c r="S4">
        <v>3</v>
      </c>
      <c r="T4">
        <v>3</v>
      </c>
    </row>
    <row r="5" spans="1:20" x14ac:dyDescent="0.3">
      <c r="A5" t="s">
        <v>49</v>
      </c>
      <c r="B5" t="s">
        <v>50</v>
      </c>
      <c r="C5" t="s">
        <v>51</v>
      </c>
      <c r="D5" t="s">
        <v>35</v>
      </c>
      <c r="E5" t="s">
        <v>52</v>
      </c>
      <c r="F5">
        <v>400</v>
      </c>
      <c r="G5" t="s">
        <v>53</v>
      </c>
      <c r="H5" t="s">
        <v>54</v>
      </c>
      <c r="I5" t="s">
        <v>55</v>
      </c>
      <c r="J5" t="s">
        <v>56</v>
      </c>
      <c r="K5" t="s">
        <v>48</v>
      </c>
      <c r="L5">
        <v>9</v>
      </c>
      <c r="M5">
        <v>80.36</v>
      </c>
      <c r="N5" t="s">
        <v>53</v>
      </c>
      <c r="P5" t="s">
        <v>40</v>
      </c>
      <c r="Q5">
        <v>8.1999999999999993</v>
      </c>
      <c r="R5">
        <v>4.2</v>
      </c>
    </row>
    <row r="6" spans="1:20" x14ac:dyDescent="0.3">
      <c r="A6" t="s">
        <v>57</v>
      </c>
      <c r="B6" t="s">
        <v>58</v>
      </c>
      <c r="C6" t="s">
        <v>59</v>
      </c>
      <c r="D6" t="s">
        <v>35</v>
      </c>
      <c r="E6" t="s">
        <v>36</v>
      </c>
      <c r="F6">
        <v>1200</v>
      </c>
      <c r="G6" t="s">
        <v>60</v>
      </c>
      <c r="H6" t="s">
        <v>61</v>
      </c>
      <c r="I6" t="s">
        <v>62</v>
      </c>
      <c r="J6" t="s">
        <v>63</v>
      </c>
      <c r="K6" t="s">
        <v>29</v>
      </c>
      <c r="L6">
        <v>4</v>
      </c>
      <c r="M6">
        <v>618.76</v>
      </c>
      <c r="N6" t="s">
        <v>60</v>
      </c>
      <c r="O6" t="s">
        <v>64</v>
      </c>
      <c r="P6" t="s">
        <v>31</v>
      </c>
      <c r="Q6">
        <v>10.23076923076923</v>
      </c>
      <c r="R6">
        <v>4.6923076923076934</v>
      </c>
      <c r="S6">
        <v>3</v>
      </c>
      <c r="T6">
        <v>6</v>
      </c>
    </row>
    <row r="7" spans="1:20" x14ac:dyDescent="0.3">
      <c r="A7" t="s">
        <v>65</v>
      </c>
      <c r="B7" t="s">
        <v>66</v>
      </c>
      <c r="C7" t="s">
        <v>67</v>
      </c>
      <c r="D7" t="s">
        <v>23</v>
      </c>
      <c r="E7" t="s">
        <v>24</v>
      </c>
      <c r="F7">
        <v>35</v>
      </c>
      <c r="G7" t="s">
        <v>68</v>
      </c>
      <c r="H7" t="s">
        <v>46</v>
      </c>
      <c r="I7" t="s">
        <v>69</v>
      </c>
      <c r="J7" t="s">
        <v>70</v>
      </c>
      <c r="K7" t="s">
        <v>48</v>
      </c>
      <c r="L7">
        <v>2</v>
      </c>
      <c r="M7">
        <v>1618.92</v>
      </c>
      <c r="N7" t="s">
        <v>68</v>
      </c>
      <c r="P7" t="s">
        <v>40</v>
      </c>
      <c r="Q7">
        <v>21.5</v>
      </c>
      <c r="R7">
        <v>12.75</v>
      </c>
      <c r="S7">
        <v>3</v>
      </c>
      <c r="T7">
        <v>6</v>
      </c>
    </row>
    <row r="8" spans="1:20" x14ac:dyDescent="0.3">
      <c r="A8" t="s">
        <v>71</v>
      </c>
      <c r="B8" t="s">
        <v>72</v>
      </c>
      <c r="C8" t="s">
        <v>59</v>
      </c>
      <c r="D8" t="s">
        <v>23</v>
      </c>
      <c r="E8" t="s">
        <v>73</v>
      </c>
      <c r="F8">
        <v>12</v>
      </c>
      <c r="G8" t="s">
        <v>74</v>
      </c>
      <c r="H8" t="s">
        <v>38</v>
      </c>
      <c r="I8" t="s">
        <v>75</v>
      </c>
      <c r="J8" t="s">
        <v>63</v>
      </c>
      <c r="K8" t="s">
        <v>48</v>
      </c>
      <c r="L8">
        <v>5</v>
      </c>
      <c r="M8">
        <v>658.68</v>
      </c>
      <c r="N8" t="s">
        <v>74</v>
      </c>
      <c r="P8" t="s">
        <v>40</v>
      </c>
      <c r="Q8">
        <v>5.3181818181818183</v>
      </c>
      <c r="R8">
        <v>2.9090909090909092</v>
      </c>
      <c r="S8">
        <v>2</v>
      </c>
      <c r="T8">
        <v>8.5</v>
      </c>
    </row>
    <row r="9" spans="1:20" x14ac:dyDescent="0.3">
      <c r="A9" t="s">
        <v>76</v>
      </c>
      <c r="B9" t="s">
        <v>77</v>
      </c>
      <c r="C9" t="s">
        <v>59</v>
      </c>
      <c r="D9" t="s">
        <v>43</v>
      </c>
      <c r="E9" t="s">
        <v>78</v>
      </c>
      <c r="F9">
        <v>400</v>
      </c>
      <c r="G9" t="s">
        <v>37</v>
      </c>
      <c r="H9" t="s">
        <v>26</v>
      </c>
      <c r="I9" t="s">
        <v>79</v>
      </c>
      <c r="J9" t="s">
        <v>63</v>
      </c>
      <c r="K9" t="s">
        <v>48</v>
      </c>
      <c r="L9">
        <v>9</v>
      </c>
      <c r="M9">
        <v>818.36</v>
      </c>
      <c r="N9" t="s">
        <v>37</v>
      </c>
      <c r="P9" t="s">
        <v>40</v>
      </c>
      <c r="Q9">
        <v>14.09090909090909</v>
      </c>
      <c r="R9">
        <v>9.454545454545455</v>
      </c>
      <c r="S9">
        <v>2</v>
      </c>
      <c r="T9">
        <v>7.5</v>
      </c>
    </row>
    <row r="10" spans="1:20" x14ac:dyDescent="0.3">
      <c r="A10" t="s">
        <v>80</v>
      </c>
      <c r="B10" t="s">
        <v>81</v>
      </c>
      <c r="C10" t="s">
        <v>82</v>
      </c>
      <c r="D10" t="s">
        <v>43</v>
      </c>
      <c r="E10" t="s">
        <v>78</v>
      </c>
      <c r="F10">
        <v>3000</v>
      </c>
      <c r="G10" t="s">
        <v>83</v>
      </c>
      <c r="H10" t="s">
        <v>61</v>
      </c>
      <c r="I10" t="s">
        <v>84</v>
      </c>
      <c r="J10" t="s">
        <v>70</v>
      </c>
      <c r="K10" t="s">
        <v>29</v>
      </c>
      <c r="L10">
        <v>6</v>
      </c>
      <c r="M10">
        <v>2098.6</v>
      </c>
      <c r="N10" t="s">
        <v>83</v>
      </c>
      <c r="P10" t="s">
        <v>40</v>
      </c>
      <c r="Q10">
        <v>12.22222222222222</v>
      </c>
      <c r="R10">
        <v>6.4444444444444446</v>
      </c>
      <c r="S10">
        <v>4</v>
      </c>
      <c r="T10">
        <v>5.75</v>
      </c>
    </row>
    <row r="11" spans="1:20" x14ac:dyDescent="0.3">
      <c r="A11" t="s">
        <v>85</v>
      </c>
      <c r="B11" t="s">
        <v>86</v>
      </c>
      <c r="C11" t="s">
        <v>67</v>
      </c>
      <c r="D11" t="s">
        <v>23</v>
      </c>
      <c r="E11" t="s">
        <v>87</v>
      </c>
      <c r="F11">
        <v>12</v>
      </c>
      <c r="G11" t="s">
        <v>88</v>
      </c>
      <c r="H11" t="s">
        <v>54</v>
      </c>
      <c r="I11" t="s">
        <v>89</v>
      </c>
      <c r="J11" t="s">
        <v>28</v>
      </c>
      <c r="K11" t="s">
        <v>29</v>
      </c>
      <c r="L11">
        <v>6</v>
      </c>
      <c r="M11">
        <v>278.60000000000002</v>
      </c>
      <c r="N11" t="s">
        <v>88</v>
      </c>
      <c r="O11" t="s">
        <v>90</v>
      </c>
      <c r="P11" t="s">
        <v>31</v>
      </c>
      <c r="Q11">
        <v>13.5</v>
      </c>
      <c r="R11">
        <v>5.5</v>
      </c>
      <c r="S11">
        <v>6</v>
      </c>
      <c r="T11">
        <v>5.333333333333333</v>
      </c>
    </row>
    <row r="12" spans="1:20" x14ac:dyDescent="0.3">
      <c r="A12" t="s">
        <v>91</v>
      </c>
      <c r="B12" t="s">
        <v>92</v>
      </c>
      <c r="C12" t="s">
        <v>51</v>
      </c>
      <c r="D12" t="s">
        <v>43</v>
      </c>
      <c r="E12" t="s">
        <v>44</v>
      </c>
      <c r="F12">
        <v>400</v>
      </c>
      <c r="G12" t="s">
        <v>93</v>
      </c>
      <c r="H12" t="s">
        <v>46</v>
      </c>
      <c r="I12" t="s">
        <v>94</v>
      </c>
      <c r="J12" t="s">
        <v>28</v>
      </c>
      <c r="K12" t="s">
        <v>48</v>
      </c>
      <c r="L12">
        <v>5</v>
      </c>
      <c r="M12">
        <v>262.68</v>
      </c>
      <c r="N12" t="s">
        <v>93</v>
      </c>
      <c r="P12" t="s">
        <v>40</v>
      </c>
      <c r="Q12">
        <v>4.8</v>
      </c>
      <c r="R12">
        <v>2.4</v>
      </c>
      <c r="S12">
        <v>2</v>
      </c>
      <c r="T12">
        <v>4.5</v>
      </c>
    </row>
    <row r="13" spans="1:20" x14ac:dyDescent="0.3">
      <c r="A13" t="s">
        <v>95</v>
      </c>
      <c r="B13" t="s">
        <v>96</v>
      </c>
      <c r="C13" t="s">
        <v>97</v>
      </c>
      <c r="D13" t="s">
        <v>43</v>
      </c>
      <c r="E13" t="s">
        <v>44</v>
      </c>
      <c r="F13">
        <v>35</v>
      </c>
      <c r="G13" t="s">
        <v>98</v>
      </c>
      <c r="H13" t="s">
        <v>99</v>
      </c>
      <c r="I13" t="s">
        <v>100</v>
      </c>
      <c r="J13" t="s">
        <v>70</v>
      </c>
      <c r="K13" t="s">
        <v>48</v>
      </c>
      <c r="L13">
        <v>5</v>
      </c>
      <c r="M13">
        <v>1978.68</v>
      </c>
      <c r="N13" t="s">
        <v>98</v>
      </c>
      <c r="O13" t="s">
        <v>101</v>
      </c>
      <c r="P13" t="s">
        <v>31</v>
      </c>
      <c r="Q13">
        <v>1.4</v>
      </c>
      <c r="R13">
        <v>0.7</v>
      </c>
      <c r="S13">
        <v>1</v>
      </c>
      <c r="T13">
        <v>5</v>
      </c>
    </row>
    <row r="14" spans="1:20" x14ac:dyDescent="0.3">
      <c r="A14" t="s">
        <v>102</v>
      </c>
      <c r="B14" t="s">
        <v>103</v>
      </c>
      <c r="C14" t="s">
        <v>51</v>
      </c>
      <c r="D14" t="s">
        <v>35</v>
      </c>
      <c r="E14" t="s">
        <v>36</v>
      </c>
      <c r="F14">
        <v>12</v>
      </c>
      <c r="G14" t="s">
        <v>104</v>
      </c>
      <c r="H14" t="s">
        <v>46</v>
      </c>
      <c r="I14" t="s">
        <v>105</v>
      </c>
      <c r="J14" t="s">
        <v>70</v>
      </c>
      <c r="K14" t="s">
        <v>48</v>
      </c>
      <c r="L14">
        <v>4</v>
      </c>
      <c r="M14">
        <v>1858.76</v>
      </c>
      <c r="N14" t="s">
        <v>104</v>
      </c>
      <c r="O14" t="s">
        <v>106</v>
      </c>
      <c r="P14" t="s">
        <v>31</v>
      </c>
      <c r="Q14">
        <v>0</v>
      </c>
      <c r="R14">
        <v>0</v>
      </c>
      <c r="S14">
        <v>1</v>
      </c>
      <c r="T14">
        <v>6</v>
      </c>
    </row>
    <row r="15" spans="1:20" x14ac:dyDescent="0.3">
      <c r="A15" t="s">
        <v>102</v>
      </c>
      <c r="B15" t="s">
        <v>103</v>
      </c>
      <c r="C15" t="s">
        <v>51</v>
      </c>
      <c r="D15" t="s">
        <v>35</v>
      </c>
      <c r="E15" t="s">
        <v>36</v>
      </c>
      <c r="F15">
        <v>12</v>
      </c>
      <c r="G15" t="s">
        <v>104</v>
      </c>
      <c r="H15" t="s">
        <v>46</v>
      </c>
      <c r="I15" t="s">
        <v>107</v>
      </c>
      <c r="J15" t="s">
        <v>56</v>
      </c>
      <c r="K15" t="s">
        <v>48</v>
      </c>
      <c r="L15">
        <v>7</v>
      </c>
      <c r="M15">
        <v>72.52</v>
      </c>
      <c r="N15" t="s">
        <v>108</v>
      </c>
      <c r="P15" t="s">
        <v>40</v>
      </c>
      <c r="Q15">
        <v>0</v>
      </c>
      <c r="R15">
        <v>0</v>
      </c>
      <c r="S15">
        <v>1</v>
      </c>
      <c r="T15">
        <v>6</v>
      </c>
    </row>
    <row r="16" spans="1:20" x14ac:dyDescent="0.3">
      <c r="A16" t="s">
        <v>109</v>
      </c>
      <c r="B16" t="s">
        <v>110</v>
      </c>
      <c r="C16" t="s">
        <v>111</v>
      </c>
      <c r="D16" t="s">
        <v>23</v>
      </c>
      <c r="E16" t="s">
        <v>112</v>
      </c>
      <c r="F16">
        <v>1200</v>
      </c>
      <c r="G16" t="s">
        <v>113</v>
      </c>
      <c r="H16" t="s">
        <v>54</v>
      </c>
      <c r="I16" t="s">
        <v>114</v>
      </c>
      <c r="J16" t="s">
        <v>56</v>
      </c>
      <c r="K16" t="s">
        <v>29</v>
      </c>
      <c r="L16">
        <v>6</v>
      </c>
      <c r="M16">
        <v>68.599999999999994</v>
      </c>
      <c r="N16" t="s">
        <v>113</v>
      </c>
      <c r="P16" t="s">
        <v>40</v>
      </c>
      <c r="Q16">
        <v>6.166666666666667</v>
      </c>
      <c r="R16">
        <v>3.666666666666667</v>
      </c>
      <c r="S16">
        <v>2</v>
      </c>
      <c r="T16">
        <v>6</v>
      </c>
    </row>
    <row r="17" spans="1:20" x14ac:dyDescent="0.3">
      <c r="A17" t="s">
        <v>115</v>
      </c>
      <c r="B17" t="s">
        <v>116</v>
      </c>
      <c r="C17" t="s">
        <v>34</v>
      </c>
      <c r="D17" t="s">
        <v>23</v>
      </c>
      <c r="E17" t="s">
        <v>117</v>
      </c>
      <c r="F17">
        <v>35</v>
      </c>
      <c r="G17" t="s">
        <v>118</v>
      </c>
      <c r="H17" t="s">
        <v>54</v>
      </c>
      <c r="I17" t="s">
        <v>119</v>
      </c>
      <c r="J17" t="s">
        <v>28</v>
      </c>
      <c r="K17" t="s">
        <v>29</v>
      </c>
      <c r="L17">
        <v>4</v>
      </c>
      <c r="M17">
        <v>246.76</v>
      </c>
      <c r="N17" t="s">
        <v>118</v>
      </c>
      <c r="P17" t="s">
        <v>40</v>
      </c>
      <c r="Q17">
        <v>5.083333333333333</v>
      </c>
      <c r="R17">
        <v>2.833333333333333</v>
      </c>
      <c r="S17">
        <v>3</v>
      </c>
      <c r="T17">
        <v>5</v>
      </c>
    </row>
    <row r="18" spans="1:20" x14ac:dyDescent="0.3">
      <c r="A18" t="s">
        <v>120</v>
      </c>
      <c r="B18" t="s">
        <v>121</v>
      </c>
      <c r="C18" t="s">
        <v>111</v>
      </c>
      <c r="D18" t="s">
        <v>35</v>
      </c>
      <c r="E18" t="s">
        <v>52</v>
      </c>
      <c r="F18">
        <v>35</v>
      </c>
      <c r="G18" t="s">
        <v>122</v>
      </c>
      <c r="H18" t="s">
        <v>26</v>
      </c>
      <c r="I18" t="s">
        <v>123</v>
      </c>
      <c r="J18" t="s">
        <v>63</v>
      </c>
      <c r="K18" t="s">
        <v>29</v>
      </c>
      <c r="L18">
        <v>13</v>
      </c>
      <c r="M18">
        <v>978.04</v>
      </c>
      <c r="N18" t="s">
        <v>122</v>
      </c>
      <c r="O18" t="s">
        <v>124</v>
      </c>
      <c r="P18" t="s">
        <v>31</v>
      </c>
      <c r="Q18">
        <v>3.166666666666667</v>
      </c>
      <c r="R18">
        <v>1.25</v>
      </c>
      <c r="S18">
        <v>4</v>
      </c>
      <c r="T18">
        <v>6.5</v>
      </c>
    </row>
    <row r="19" spans="1:20" x14ac:dyDescent="0.3">
      <c r="A19" t="s">
        <v>125</v>
      </c>
      <c r="B19" t="s">
        <v>126</v>
      </c>
      <c r="C19" t="s">
        <v>22</v>
      </c>
      <c r="D19" t="s">
        <v>127</v>
      </c>
      <c r="E19" t="s">
        <v>128</v>
      </c>
      <c r="F19">
        <v>12</v>
      </c>
      <c r="G19" t="s">
        <v>129</v>
      </c>
      <c r="H19" t="s">
        <v>26</v>
      </c>
      <c r="I19" t="s">
        <v>130</v>
      </c>
      <c r="J19" t="s">
        <v>56</v>
      </c>
      <c r="K19" t="s">
        <v>48</v>
      </c>
      <c r="L19">
        <v>4</v>
      </c>
      <c r="M19">
        <v>60.76</v>
      </c>
      <c r="N19" t="s">
        <v>129</v>
      </c>
      <c r="P19" t="s">
        <v>40</v>
      </c>
      <c r="Q19">
        <v>3.4285714285714279</v>
      </c>
      <c r="R19">
        <v>1.857142857142857</v>
      </c>
      <c r="S19">
        <v>3</v>
      </c>
      <c r="T19">
        <v>4</v>
      </c>
    </row>
    <row r="20" spans="1:20" x14ac:dyDescent="0.3">
      <c r="A20" t="s">
        <v>131</v>
      </c>
      <c r="B20" t="s">
        <v>132</v>
      </c>
      <c r="C20" t="s">
        <v>34</v>
      </c>
      <c r="D20" t="s">
        <v>127</v>
      </c>
      <c r="E20" t="s">
        <v>133</v>
      </c>
      <c r="F20">
        <v>150</v>
      </c>
      <c r="G20" t="s">
        <v>134</v>
      </c>
      <c r="H20" t="s">
        <v>38</v>
      </c>
      <c r="I20" t="s">
        <v>135</v>
      </c>
      <c r="J20" t="s">
        <v>70</v>
      </c>
      <c r="K20" t="s">
        <v>29</v>
      </c>
      <c r="L20">
        <v>6</v>
      </c>
      <c r="M20">
        <v>2098.6</v>
      </c>
      <c r="N20" t="s">
        <v>134</v>
      </c>
      <c r="P20" t="s">
        <v>40</v>
      </c>
      <c r="Q20">
        <v>8.6999999999999993</v>
      </c>
      <c r="R20">
        <v>5.3</v>
      </c>
      <c r="S20">
        <v>6</v>
      </c>
      <c r="T20">
        <v>4.333333333333333</v>
      </c>
    </row>
    <row r="21" spans="1:20" x14ac:dyDescent="0.3">
      <c r="A21" t="s">
        <v>136</v>
      </c>
      <c r="B21" t="s">
        <v>137</v>
      </c>
      <c r="C21" t="s">
        <v>34</v>
      </c>
      <c r="D21" t="s">
        <v>138</v>
      </c>
      <c r="E21" t="s">
        <v>138</v>
      </c>
      <c r="F21">
        <v>150</v>
      </c>
      <c r="G21" t="s">
        <v>139</v>
      </c>
      <c r="H21" t="s">
        <v>61</v>
      </c>
      <c r="I21" t="s">
        <v>140</v>
      </c>
      <c r="J21" t="s">
        <v>28</v>
      </c>
      <c r="K21" t="s">
        <v>29</v>
      </c>
      <c r="L21">
        <v>9</v>
      </c>
      <c r="M21">
        <v>326.36</v>
      </c>
      <c r="N21" t="s">
        <v>139</v>
      </c>
      <c r="P21" t="s">
        <v>40</v>
      </c>
      <c r="Q21">
        <v>16.555555555555561</v>
      </c>
      <c r="R21">
        <v>8.1111111111111107</v>
      </c>
      <c r="S21">
        <v>2</v>
      </c>
      <c r="T21">
        <v>5.5</v>
      </c>
    </row>
    <row r="22" spans="1:20" x14ac:dyDescent="0.3">
      <c r="A22" t="s">
        <v>141</v>
      </c>
      <c r="B22" t="s">
        <v>142</v>
      </c>
      <c r="C22" t="s">
        <v>51</v>
      </c>
      <c r="D22" t="s">
        <v>23</v>
      </c>
      <c r="E22" t="s">
        <v>112</v>
      </c>
      <c r="F22">
        <v>400</v>
      </c>
      <c r="G22" t="s">
        <v>143</v>
      </c>
      <c r="H22" t="s">
        <v>38</v>
      </c>
      <c r="I22" t="s">
        <v>144</v>
      </c>
      <c r="J22" t="s">
        <v>56</v>
      </c>
      <c r="K22" t="s">
        <v>29</v>
      </c>
      <c r="L22">
        <v>6</v>
      </c>
      <c r="M22">
        <v>68.599999999999994</v>
      </c>
      <c r="N22" t="s">
        <v>143</v>
      </c>
      <c r="O22" t="s">
        <v>145</v>
      </c>
      <c r="P22" t="s">
        <v>31</v>
      </c>
      <c r="Q22">
        <v>7.8571428571428568</v>
      </c>
      <c r="R22">
        <v>4.7142857142857144</v>
      </c>
      <c r="S22">
        <v>5</v>
      </c>
      <c r="T22">
        <v>5.8</v>
      </c>
    </row>
    <row r="23" spans="1:20" x14ac:dyDescent="0.3">
      <c r="A23" t="s">
        <v>146</v>
      </c>
      <c r="B23" t="s">
        <v>147</v>
      </c>
      <c r="C23" t="s">
        <v>34</v>
      </c>
      <c r="D23" t="s">
        <v>127</v>
      </c>
      <c r="E23" t="s">
        <v>128</v>
      </c>
      <c r="F23">
        <v>35</v>
      </c>
      <c r="G23" t="s">
        <v>148</v>
      </c>
      <c r="H23" t="s">
        <v>46</v>
      </c>
      <c r="I23" t="s">
        <v>149</v>
      </c>
      <c r="J23" t="s">
        <v>56</v>
      </c>
      <c r="K23" t="s">
        <v>48</v>
      </c>
      <c r="L23">
        <v>8</v>
      </c>
      <c r="M23">
        <v>76.44</v>
      </c>
      <c r="N23" t="s">
        <v>148</v>
      </c>
      <c r="P23" t="s">
        <v>40</v>
      </c>
      <c r="Q23">
        <v>13.2</v>
      </c>
      <c r="R23">
        <v>7.4</v>
      </c>
      <c r="S23">
        <v>4</v>
      </c>
      <c r="T23">
        <v>4.75</v>
      </c>
    </row>
    <row r="24" spans="1:20" x14ac:dyDescent="0.3">
      <c r="A24" t="s">
        <v>150</v>
      </c>
      <c r="B24" t="s">
        <v>151</v>
      </c>
      <c r="C24" t="s">
        <v>51</v>
      </c>
      <c r="D24" t="s">
        <v>127</v>
      </c>
      <c r="E24" t="s">
        <v>133</v>
      </c>
      <c r="F24">
        <v>400</v>
      </c>
      <c r="G24" t="s">
        <v>152</v>
      </c>
      <c r="H24" t="s">
        <v>46</v>
      </c>
      <c r="I24" t="s">
        <v>153</v>
      </c>
      <c r="J24" t="s">
        <v>56</v>
      </c>
      <c r="K24" t="s">
        <v>29</v>
      </c>
      <c r="L24">
        <v>5</v>
      </c>
      <c r="M24">
        <v>64.680000000000007</v>
      </c>
      <c r="N24" t="s">
        <v>152</v>
      </c>
      <c r="P24" t="s">
        <v>40</v>
      </c>
      <c r="Q24">
        <v>2.75</v>
      </c>
      <c r="R24">
        <v>1.0625</v>
      </c>
      <c r="S24">
        <v>8</v>
      </c>
      <c r="T24">
        <v>6.125</v>
      </c>
    </row>
    <row r="25" spans="1:20" x14ac:dyDescent="0.3">
      <c r="A25" t="s">
        <v>154</v>
      </c>
      <c r="B25" t="s">
        <v>155</v>
      </c>
      <c r="C25" t="s">
        <v>111</v>
      </c>
      <c r="D25" t="s">
        <v>127</v>
      </c>
      <c r="E25" t="s">
        <v>133</v>
      </c>
      <c r="F25">
        <v>35</v>
      </c>
      <c r="G25" t="s">
        <v>156</v>
      </c>
      <c r="H25" t="s">
        <v>38</v>
      </c>
      <c r="I25" t="s">
        <v>157</v>
      </c>
      <c r="J25" t="s">
        <v>63</v>
      </c>
      <c r="K25" t="s">
        <v>29</v>
      </c>
      <c r="L25">
        <v>8</v>
      </c>
      <c r="M25">
        <v>778.44</v>
      </c>
      <c r="N25" t="s">
        <v>156</v>
      </c>
      <c r="P25" t="s">
        <v>40</v>
      </c>
      <c r="Q25">
        <v>2.8</v>
      </c>
      <c r="R25">
        <v>0.8</v>
      </c>
      <c r="S25">
        <v>5</v>
      </c>
      <c r="T25">
        <v>5.8</v>
      </c>
    </row>
    <row r="26" spans="1:20" x14ac:dyDescent="0.3">
      <c r="A26" t="s">
        <v>158</v>
      </c>
      <c r="B26" t="s">
        <v>159</v>
      </c>
      <c r="C26" t="s">
        <v>51</v>
      </c>
      <c r="D26" t="s">
        <v>23</v>
      </c>
      <c r="E26" t="s">
        <v>160</v>
      </c>
      <c r="F26">
        <v>12</v>
      </c>
      <c r="G26" t="s">
        <v>161</v>
      </c>
      <c r="H26" t="s">
        <v>26</v>
      </c>
      <c r="I26" t="s">
        <v>162</v>
      </c>
      <c r="J26" t="s">
        <v>28</v>
      </c>
      <c r="K26" t="s">
        <v>29</v>
      </c>
      <c r="L26">
        <v>4</v>
      </c>
      <c r="M26">
        <v>246.76</v>
      </c>
      <c r="N26" t="s">
        <v>161</v>
      </c>
      <c r="P26" t="s">
        <v>40</v>
      </c>
      <c r="Q26">
        <v>15.66666666666667</v>
      </c>
      <c r="R26">
        <v>7.333333333333333</v>
      </c>
      <c r="S26">
        <v>2</v>
      </c>
      <c r="T26">
        <v>5.5</v>
      </c>
    </row>
    <row r="27" spans="1:20" x14ac:dyDescent="0.3">
      <c r="A27" t="s">
        <v>163</v>
      </c>
      <c r="B27" t="s">
        <v>164</v>
      </c>
      <c r="C27" t="s">
        <v>67</v>
      </c>
      <c r="D27" t="s">
        <v>127</v>
      </c>
      <c r="E27" t="s">
        <v>128</v>
      </c>
      <c r="F27">
        <v>1200</v>
      </c>
      <c r="G27" t="s">
        <v>165</v>
      </c>
      <c r="H27" t="s">
        <v>61</v>
      </c>
      <c r="I27" t="s">
        <v>166</v>
      </c>
      <c r="J27" t="s">
        <v>28</v>
      </c>
      <c r="K27" t="s">
        <v>29</v>
      </c>
      <c r="L27">
        <v>5</v>
      </c>
      <c r="M27">
        <v>262.68</v>
      </c>
      <c r="N27" t="s">
        <v>165</v>
      </c>
      <c r="P27" t="s">
        <v>40</v>
      </c>
      <c r="Q27">
        <v>3.333333333333333</v>
      </c>
      <c r="R27">
        <v>1.6190476190476191</v>
      </c>
      <c r="S27">
        <v>4</v>
      </c>
      <c r="T27">
        <v>4.5</v>
      </c>
    </row>
    <row r="28" spans="1:20" x14ac:dyDescent="0.3">
      <c r="A28" t="s">
        <v>167</v>
      </c>
      <c r="B28" t="s">
        <v>168</v>
      </c>
      <c r="C28" t="s">
        <v>67</v>
      </c>
      <c r="D28" t="s">
        <v>23</v>
      </c>
      <c r="E28" t="s">
        <v>117</v>
      </c>
      <c r="F28">
        <v>12</v>
      </c>
      <c r="G28" t="s">
        <v>169</v>
      </c>
      <c r="H28" t="s">
        <v>46</v>
      </c>
      <c r="I28" t="s">
        <v>170</v>
      </c>
      <c r="J28" t="s">
        <v>63</v>
      </c>
      <c r="K28" t="s">
        <v>48</v>
      </c>
      <c r="L28">
        <v>6</v>
      </c>
      <c r="M28">
        <v>698.6</v>
      </c>
      <c r="N28" t="s">
        <v>169</v>
      </c>
      <c r="O28" t="s">
        <v>171</v>
      </c>
      <c r="P28" t="s">
        <v>31</v>
      </c>
      <c r="Q28">
        <v>7.75</v>
      </c>
      <c r="R28">
        <v>4.375</v>
      </c>
      <c r="S28">
        <v>1</v>
      </c>
      <c r="T28">
        <v>4</v>
      </c>
    </row>
    <row r="29" spans="1:20" x14ac:dyDescent="0.3">
      <c r="A29" t="s">
        <v>172</v>
      </c>
      <c r="B29" t="s">
        <v>173</v>
      </c>
      <c r="C29" t="s">
        <v>67</v>
      </c>
      <c r="D29" t="s">
        <v>23</v>
      </c>
      <c r="E29" t="s">
        <v>160</v>
      </c>
      <c r="F29">
        <v>3000</v>
      </c>
      <c r="G29" t="s">
        <v>174</v>
      </c>
      <c r="H29" t="s">
        <v>26</v>
      </c>
      <c r="I29" t="s">
        <v>175</v>
      </c>
      <c r="J29" t="s">
        <v>63</v>
      </c>
      <c r="K29" t="s">
        <v>48</v>
      </c>
      <c r="L29">
        <v>8</v>
      </c>
      <c r="M29">
        <v>778.44</v>
      </c>
      <c r="N29" t="s">
        <v>174</v>
      </c>
      <c r="O29" t="s">
        <v>176</v>
      </c>
      <c r="P29" t="s">
        <v>31</v>
      </c>
      <c r="Q29">
        <v>3</v>
      </c>
      <c r="R29">
        <v>1.666666666666667</v>
      </c>
      <c r="S29">
        <v>2</v>
      </c>
      <c r="T29">
        <v>7</v>
      </c>
    </row>
    <row r="30" spans="1:20" x14ac:dyDescent="0.3">
      <c r="A30" t="s">
        <v>177</v>
      </c>
      <c r="B30" t="s">
        <v>178</v>
      </c>
      <c r="C30" t="s">
        <v>67</v>
      </c>
      <c r="D30" t="s">
        <v>23</v>
      </c>
      <c r="E30" t="s">
        <v>112</v>
      </c>
      <c r="F30">
        <v>3000</v>
      </c>
      <c r="G30" t="s">
        <v>179</v>
      </c>
      <c r="H30" t="s">
        <v>54</v>
      </c>
      <c r="I30" t="s">
        <v>180</v>
      </c>
      <c r="J30" t="s">
        <v>28</v>
      </c>
      <c r="K30" t="s">
        <v>48</v>
      </c>
      <c r="L30">
        <v>7</v>
      </c>
      <c r="M30">
        <v>294.52</v>
      </c>
      <c r="N30" t="s">
        <v>179</v>
      </c>
      <c r="O30" t="s">
        <v>181</v>
      </c>
      <c r="P30" t="s">
        <v>31</v>
      </c>
      <c r="Q30">
        <v>10.842105263157899</v>
      </c>
      <c r="R30">
        <v>6.4736842105263159</v>
      </c>
      <c r="S30">
        <v>4</v>
      </c>
      <c r="T30">
        <v>5</v>
      </c>
    </row>
    <row r="31" spans="1:20" x14ac:dyDescent="0.3">
      <c r="A31" t="s">
        <v>182</v>
      </c>
      <c r="B31" t="s">
        <v>183</v>
      </c>
      <c r="C31" t="s">
        <v>67</v>
      </c>
      <c r="D31" t="s">
        <v>23</v>
      </c>
      <c r="E31" t="s">
        <v>87</v>
      </c>
      <c r="F31">
        <v>3000</v>
      </c>
      <c r="G31" t="s">
        <v>184</v>
      </c>
      <c r="H31" t="s">
        <v>38</v>
      </c>
      <c r="I31" t="s">
        <v>185</v>
      </c>
      <c r="J31" t="s">
        <v>63</v>
      </c>
      <c r="K31" t="s">
        <v>29</v>
      </c>
      <c r="L31">
        <v>6</v>
      </c>
      <c r="M31">
        <v>698.6</v>
      </c>
      <c r="N31" t="s">
        <v>184</v>
      </c>
      <c r="P31" t="s">
        <v>40</v>
      </c>
      <c r="Q31">
        <v>6.75</v>
      </c>
      <c r="R31">
        <v>2.916666666666667</v>
      </c>
      <c r="S31">
        <v>6</v>
      </c>
      <c r="T31">
        <v>6.333333333333333</v>
      </c>
    </row>
    <row r="32" spans="1:20" x14ac:dyDescent="0.3">
      <c r="A32" t="s">
        <v>186</v>
      </c>
      <c r="B32" t="s">
        <v>187</v>
      </c>
      <c r="C32" t="s">
        <v>34</v>
      </c>
      <c r="D32" t="s">
        <v>23</v>
      </c>
      <c r="E32" t="s">
        <v>73</v>
      </c>
      <c r="F32">
        <v>1200</v>
      </c>
      <c r="G32" t="s">
        <v>188</v>
      </c>
      <c r="H32" t="s">
        <v>38</v>
      </c>
      <c r="I32" t="s">
        <v>189</v>
      </c>
      <c r="J32" t="s">
        <v>70</v>
      </c>
      <c r="K32" t="s">
        <v>48</v>
      </c>
      <c r="L32">
        <v>9</v>
      </c>
      <c r="M32">
        <v>2458.36</v>
      </c>
      <c r="N32" t="s">
        <v>188</v>
      </c>
      <c r="P32" t="s">
        <v>40</v>
      </c>
      <c r="Q32">
        <v>18.857142857142861</v>
      </c>
      <c r="R32">
        <v>11</v>
      </c>
      <c r="S32">
        <v>2</v>
      </c>
      <c r="T32">
        <v>6</v>
      </c>
    </row>
    <row r="33" spans="1:20" x14ac:dyDescent="0.3">
      <c r="A33" t="s">
        <v>190</v>
      </c>
      <c r="B33" t="s">
        <v>191</v>
      </c>
      <c r="C33" t="s">
        <v>59</v>
      </c>
      <c r="D33" t="s">
        <v>23</v>
      </c>
      <c r="E33" t="s">
        <v>160</v>
      </c>
      <c r="F33">
        <v>400</v>
      </c>
      <c r="G33" t="s">
        <v>192</v>
      </c>
      <c r="H33" t="s">
        <v>46</v>
      </c>
      <c r="I33" t="s">
        <v>193</v>
      </c>
      <c r="J33" t="s">
        <v>28</v>
      </c>
      <c r="K33" t="s">
        <v>29</v>
      </c>
      <c r="L33">
        <v>7</v>
      </c>
      <c r="M33">
        <v>294.52</v>
      </c>
      <c r="N33" t="s">
        <v>192</v>
      </c>
      <c r="P33" t="s">
        <v>40</v>
      </c>
      <c r="S33">
        <v>3</v>
      </c>
      <c r="T33">
        <v>6.666666666666667</v>
      </c>
    </row>
    <row r="34" spans="1:20" x14ac:dyDescent="0.3">
      <c r="A34" t="s">
        <v>194</v>
      </c>
      <c r="B34" t="s">
        <v>195</v>
      </c>
      <c r="C34" t="s">
        <v>51</v>
      </c>
      <c r="D34" t="s">
        <v>23</v>
      </c>
      <c r="E34" t="s">
        <v>87</v>
      </c>
      <c r="F34">
        <v>1200</v>
      </c>
      <c r="G34" t="s">
        <v>196</v>
      </c>
      <c r="H34" t="s">
        <v>99</v>
      </c>
      <c r="I34" t="s">
        <v>197</v>
      </c>
      <c r="J34" t="s">
        <v>56</v>
      </c>
      <c r="K34" t="s">
        <v>29</v>
      </c>
      <c r="L34">
        <v>4</v>
      </c>
      <c r="M34">
        <v>60.76</v>
      </c>
      <c r="N34" t="s">
        <v>196</v>
      </c>
      <c r="P34" t="s">
        <v>40</v>
      </c>
      <c r="S34">
        <v>5</v>
      </c>
      <c r="T34">
        <v>4</v>
      </c>
    </row>
    <row r="35" spans="1:20" x14ac:dyDescent="0.3">
      <c r="A35" t="s">
        <v>198</v>
      </c>
      <c r="B35" t="s">
        <v>199</v>
      </c>
      <c r="C35" t="s">
        <v>59</v>
      </c>
      <c r="D35" t="s">
        <v>23</v>
      </c>
      <c r="E35" t="s">
        <v>73</v>
      </c>
      <c r="F35">
        <v>35</v>
      </c>
      <c r="G35" t="s">
        <v>200</v>
      </c>
      <c r="H35" t="s">
        <v>26</v>
      </c>
      <c r="I35" t="s">
        <v>201</v>
      </c>
      <c r="J35" t="s">
        <v>28</v>
      </c>
      <c r="K35" t="s">
        <v>29</v>
      </c>
      <c r="L35">
        <v>10</v>
      </c>
      <c r="M35">
        <v>342.28</v>
      </c>
      <c r="N35" t="s">
        <v>200</v>
      </c>
      <c r="P35" t="s">
        <v>40</v>
      </c>
      <c r="Q35">
        <v>10.428571428571431</v>
      </c>
      <c r="R35">
        <v>6.6428571428571432</v>
      </c>
      <c r="S35">
        <v>5</v>
      </c>
      <c r="T35">
        <v>5.4</v>
      </c>
    </row>
    <row r="36" spans="1:20" x14ac:dyDescent="0.3">
      <c r="A36" t="s">
        <v>202</v>
      </c>
      <c r="B36" t="s">
        <v>203</v>
      </c>
      <c r="C36" t="s">
        <v>97</v>
      </c>
      <c r="D36" t="s">
        <v>23</v>
      </c>
      <c r="E36" t="s">
        <v>160</v>
      </c>
      <c r="F36">
        <v>12</v>
      </c>
      <c r="G36" t="s">
        <v>192</v>
      </c>
      <c r="H36" t="s">
        <v>99</v>
      </c>
      <c r="I36" t="s">
        <v>204</v>
      </c>
      <c r="J36" t="s">
        <v>70</v>
      </c>
      <c r="K36" t="s">
        <v>29</v>
      </c>
      <c r="L36">
        <v>10</v>
      </c>
      <c r="M36">
        <v>2578.2800000000002</v>
      </c>
      <c r="N36" t="s">
        <v>192</v>
      </c>
      <c r="P36" t="s">
        <v>40</v>
      </c>
      <c r="S36">
        <v>3</v>
      </c>
      <c r="T36">
        <v>4.666666666666667</v>
      </c>
    </row>
    <row r="37" spans="1:20" x14ac:dyDescent="0.3">
      <c r="A37" t="s">
        <v>205</v>
      </c>
      <c r="B37" t="s">
        <v>206</v>
      </c>
      <c r="C37" t="s">
        <v>22</v>
      </c>
      <c r="D37" t="s">
        <v>138</v>
      </c>
      <c r="E37" t="s">
        <v>138</v>
      </c>
      <c r="F37">
        <v>80</v>
      </c>
      <c r="G37" t="s">
        <v>207</v>
      </c>
      <c r="H37" t="s">
        <v>61</v>
      </c>
      <c r="I37" t="s">
        <v>208</v>
      </c>
      <c r="J37" t="s">
        <v>70</v>
      </c>
      <c r="K37" t="s">
        <v>29</v>
      </c>
      <c r="L37">
        <v>5</v>
      </c>
      <c r="M37">
        <v>1978.68</v>
      </c>
      <c r="N37" t="s">
        <v>207</v>
      </c>
      <c r="P37" t="s">
        <v>40</v>
      </c>
      <c r="Q37">
        <v>9</v>
      </c>
      <c r="R37">
        <v>5.1052631578947372</v>
      </c>
      <c r="S37">
        <v>7</v>
      </c>
      <c r="T37">
        <v>5.5714285714285712</v>
      </c>
    </row>
    <row r="38" spans="1:20" x14ac:dyDescent="0.3">
      <c r="A38" t="s">
        <v>209</v>
      </c>
      <c r="B38" t="s">
        <v>210</v>
      </c>
      <c r="C38" t="s">
        <v>51</v>
      </c>
      <c r="D38" t="s">
        <v>23</v>
      </c>
      <c r="E38" t="s">
        <v>117</v>
      </c>
      <c r="F38">
        <v>1200</v>
      </c>
      <c r="G38" t="s">
        <v>211</v>
      </c>
      <c r="H38" t="s">
        <v>46</v>
      </c>
      <c r="I38" t="s">
        <v>212</v>
      </c>
      <c r="J38" t="s">
        <v>56</v>
      </c>
      <c r="K38" t="s">
        <v>48</v>
      </c>
      <c r="L38">
        <v>9</v>
      </c>
      <c r="M38">
        <v>80.36</v>
      </c>
      <c r="N38" t="s">
        <v>211</v>
      </c>
      <c r="P38" t="s">
        <v>40</v>
      </c>
      <c r="Q38">
        <v>9.882352941176471</v>
      </c>
      <c r="R38">
        <v>6</v>
      </c>
      <c r="S38">
        <v>6</v>
      </c>
      <c r="T38">
        <v>5.833333333333333</v>
      </c>
    </row>
    <row r="39" spans="1:20" x14ac:dyDescent="0.3">
      <c r="A39" t="s">
        <v>213</v>
      </c>
      <c r="B39" t="s">
        <v>214</v>
      </c>
      <c r="C39" t="s">
        <v>82</v>
      </c>
      <c r="D39" t="s">
        <v>43</v>
      </c>
      <c r="E39" t="s">
        <v>78</v>
      </c>
      <c r="F39">
        <v>150</v>
      </c>
      <c r="G39" t="s">
        <v>215</v>
      </c>
      <c r="H39" t="s">
        <v>54</v>
      </c>
      <c r="I39" t="s">
        <v>216</v>
      </c>
      <c r="J39" t="s">
        <v>70</v>
      </c>
      <c r="K39" t="s">
        <v>29</v>
      </c>
      <c r="L39">
        <v>5</v>
      </c>
      <c r="M39">
        <v>1978.68</v>
      </c>
      <c r="N39" t="s">
        <v>215</v>
      </c>
      <c r="O39" t="s">
        <v>217</v>
      </c>
      <c r="P39" t="s">
        <v>31</v>
      </c>
      <c r="Q39">
        <v>3.8181818181818179</v>
      </c>
      <c r="R39">
        <v>2.0909090909090908</v>
      </c>
      <c r="S39">
        <v>3</v>
      </c>
      <c r="T39">
        <v>5.666666666666667</v>
      </c>
    </row>
    <row r="40" spans="1:20" x14ac:dyDescent="0.3">
      <c r="A40" t="s">
        <v>218</v>
      </c>
      <c r="B40" t="s">
        <v>219</v>
      </c>
      <c r="C40" t="s">
        <v>59</v>
      </c>
      <c r="D40" t="s">
        <v>23</v>
      </c>
      <c r="E40" t="s">
        <v>24</v>
      </c>
      <c r="F40">
        <v>35</v>
      </c>
      <c r="G40" t="s">
        <v>174</v>
      </c>
      <c r="H40" t="s">
        <v>61</v>
      </c>
      <c r="I40" t="s">
        <v>220</v>
      </c>
      <c r="J40" t="s">
        <v>28</v>
      </c>
      <c r="K40" t="s">
        <v>29</v>
      </c>
      <c r="L40">
        <v>4</v>
      </c>
      <c r="M40">
        <v>246.76</v>
      </c>
      <c r="N40" t="s">
        <v>174</v>
      </c>
      <c r="O40" t="s">
        <v>221</v>
      </c>
      <c r="P40" t="s">
        <v>31</v>
      </c>
      <c r="Q40">
        <v>5.0714285714285712</v>
      </c>
      <c r="R40">
        <v>2.714285714285714</v>
      </c>
      <c r="S40">
        <v>4</v>
      </c>
      <c r="T40">
        <v>4.25</v>
      </c>
    </row>
    <row r="41" spans="1:20" x14ac:dyDescent="0.3">
      <c r="A41" t="s">
        <v>222</v>
      </c>
      <c r="B41" t="s">
        <v>223</v>
      </c>
      <c r="C41" t="s">
        <v>59</v>
      </c>
      <c r="D41" t="s">
        <v>23</v>
      </c>
      <c r="E41" t="s">
        <v>112</v>
      </c>
      <c r="F41">
        <v>12</v>
      </c>
      <c r="G41" t="s">
        <v>224</v>
      </c>
      <c r="H41" t="s">
        <v>38</v>
      </c>
      <c r="I41" t="s">
        <v>225</v>
      </c>
      <c r="J41" t="s">
        <v>56</v>
      </c>
      <c r="K41" t="s">
        <v>48</v>
      </c>
      <c r="L41">
        <v>8</v>
      </c>
      <c r="M41">
        <v>76.44</v>
      </c>
      <c r="N41" t="s">
        <v>224</v>
      </c>
      <c r="P41" t="s">
        <v>40</v>
      </c>
      <c r="Q41">
        <v>3.7727272727272729</v>
      </c>
      <c r="R41">
        <v>1.9090909090909089</v>
      </c>
      <c r="S41">
        <v>2</v>
      </c>
      <c r="T41">
        <v>6.5</v>
      </c>
    </row>
    <row r="42" spans="1:20" x14ac:dyDescent="0.3">
      <c r="A42" t="s">
        <v>226</v>
      </c>
      <c r="B42" t="s">
        <v>227</v>
      </c>
      <c r="C42" t="s">
        <v>51</v>
      </c>
      <c r="D42" t="s">
        <v>35</v>
      </c>
      <c r="E42" t="s">
        <v>36</v>
      </c>
      <c r="F42">
        <v>12</v>
      </c>
      <c r="G42" t="s">
        <v>228</v>
      </c>
      <c r="H42" t="s">
        <v>26</v>
      </c>
      <c r="I42" t="s">
        <v>229</v>
      </c>
      <c r="J42" t="s">
        <v>28</v>
      </c>
      <c r="K42" t="s">
        <v>29</v>
      </c>
      <c r="L42">
        <v>9</v>
      </c>
      <c r="M42">
        <v>326.36</v>
      </c>
      <c r="N42" t="s">
        <v>228</v>
      </c>
      <c r="P42" t="s">
        <v>40</v>
      </c>
      <c r="Q42">
        <v>8.3636363636363633</v>
      </c>
      <c r="R42">
        <v>4.5454545454545459</v>
      </c>
      <c r="S42">
        <v>4</v>
      </c>
      <c r="T42">
        <v>5.75</v>
      </c>
    </row>
    <row r="43" spans="1:20" x14ac:dyDescent="0.3">
      <c r="A43" t="s">
        <v>230</v>
      </c>
      <c r="B43" t="s">
        <v>231</v>
      </c>
      <c r="C43" t="s">
        <v>67</v>
      </c>
      <c r="D43" t="s">
        <v>23</v>
      </c>
      <c r="E43" t="s">
        <v>87</v>
      </c>
      <c r="F43">
        <v>12</v>
      </c>
      <c r="G43" t="s">
        <v>232</v>
      </c>
      <c r="H43" t="s">
        <v>61</v>
      </c>
      <c r="I43" t="s">
        <v>233</v>
      </c>
      <c r="J43" t="s">
        <v>28</v>
      </c>
      <c r="K43" t="s">
        <v>29</v>
      </c>
      <c r="L43">
        <v>16</v>
      </c>
      <c r="M43">
        <v>437.8</v>
      </c>
      <c r="N43" t="s">
        <v>232</v>
      </c>
      <c r="P43" t="s">
        <v>40</v>
      </c>
      <c r="Q43">
        <v>8.5384615384615383</v>
      </c>
      <c r="R43">
        <v>4.3076923076923066</v>
      </c>
      <c r="S43">
        <v>2</v>
      </c>
      <c r="T43">
        <v>5.5</v>
      </c>
    </row>
    <row r="44" spans="1:20" x14ac:dyDescent="0.3">
      <c r="A44" t="s">
        <v>234</v>
      </c>
      <c r="B44" t="s">
        <v>235</v>
      </c>
      <c r="C44" t="s">
        <v>34</v>
      </c>
      <c r="D44" t="s">
        <v>35</v>
      </c>
      <c r="E44" t="s">
        <v>36</v>
      </c>
      <c r="F44">
        <v>35</v>
      </c>
      <c r="G44" t="s">
        <v>236</v>
      </c>
      <c r="H44" t="s">
        <v>26</v>
      </c>
      <c r="I44" t="s">
        <v>237</v>
      </c>
      <c r="J44" t="s">
        <v>56</v>
      </c>
      <c r="K44" t="s">
        <v>29</v>
      </c>
      <c r="L44">
        <v>4</v>
      </c>
      <c r="M44">
        <v>60.76</v>
      </c>
      <c r="N44" t="s">
        <v>236</v>
      </c>
      <c r="P44" t="s">
        <v>40</v>
      </c>
      <c r="Q44">
        <v>15.55</v>
      </c>
      <c r="R44">
        <v>9.15</v>
      </c>
      <c r="S44">
        <v>3</v>
      </c>
      <c r="T44">
        <v>6</v>
      </c>
    </row>
    <row r="45" spans="1:20" x14ac:dyDescent="0.3">
      <c r="A45" t="s">
        <v>238</v>
      </c>
      <c r="B45" t="s">
        <v>239</v>
      </c>
      <c r="C45" t="s">
        <v>67</v>
      </c>
      <c r="D45" t="s">
        <v>127</v>
      </c>
      <c r="E45" t="s">
        <v>128</v>
      </c>
      <c r="F45">
        <v>35</v>
      </c>
      <c r="G45" t="s">
        <v>240</v>
      </c>
      <c r="H45" t="s">
        <v>26</v>
      </c>
      <c r="I45" t="s">
        <v>241</v>
      </c>
      <c r="J45" t="s">
        <v>63</v>
      </c>
      <c r="K45" t="s">
        <v>48</v>
      </c>
      <c r="L45">
        <v>6</v>
      </c>
      <c r="M45">
        <v>698.6</v>
      </c>
      <c r="N45" t="s">
        <v>240</v>
      </c>
      <c r="O45" t="s">
        <v>242</v>
      </c>
      <c r="P45" t="s">
        <v>31</v>
      </c>
      <c r="Q45">
        <v>9.6111111111111107</v>
      </c>
      <c r="R45">
        <v>5.5</v>
      </c>
      <c r="S45">
        <v>2</v>
      </c>
      <c r="T45">
        <v>4</v>
      </c>
    </row>
    <row r="46" spans="1:20" x14ac:dyDescent="0.3">
      <c r="A46" t="s">
        <v>243</v>
      </c>
      <c r="B46" t="s">
        <v>244</v>
      </c>
      <c r="C46" t="s">
        <v>51</v>
      </c>
      <c r="D46" t="s">
        <v>127</v>
      </c>
      <c r="E46" t="s">
        <v>245</v>
      </c>
      <c r="F46">
        <v>400</v>
      </c>
      <c r="G46" t="s">
        <v>246</v>
      </c>
      <c r="H46" t="s">
        <v>26</v>
      </c>
      <c r="I46" t="s">
        <v>247</v>
      </c>
      <c r="J46" t="s">
        <v>28</v>
      </c>
      <c r="K46" t="s">
        <v>48</v>
      </c>
      <c r="L46">
        <v>4</v>
      </c>
      <c r="M46">
        <v>246.76</v>
      </c>
      <c r="N46" t="s">
        <v>246</v>
      </c>
      <c r="O46" t="s">
        <v>248</v>
      </c>
      <c r="P46" t="s">
        <v>31</v>
      </c>
      <c r="Q46">
        <v>13</v>
      </c>
      <c r="R46">
        <v>6.833333333333333</v>
      </c>
      <c r="S46">
        <v>3</v>
      </c>
      <c r="T46">
        <v>5</v>
      </c>
    </row>
    <row r="47" spans="1:20" x14ac:dyDescent="0.3">
      <c r="A47" t="s">
        <v>249</v>
      </c>
      <c r="B47" t="s">
        <v>250</v>
      </c>
      <c r="C47" t="s">
        <v>51</v>
      </c>
      <c r="D47" t="s">
        <v>127</v>
      </c>
      <c r="E47" t="s">
        <v>245</v>
      </c>
      <c r="F47">
        <v>12</v>
      </c>
      <c r="G47" t="s">
        <v>251</v>
      </c>
      <c r="H47" t="s">
        <v>26</v>
      </c>
      <c r="I47" t="s">
        <v>252</v>
      </c>
      <c r="J47" t="s">
        <v>70</v>
      </c>
      <c r="K47" t="s">
        <v>29</v>
      </c>
      <c r="L47">
        <v>10</v>
      </c>
      <c r="M47">
        <v>2578.2800000000002</v>
      </c>
      <c r="N47" t="s">
        <v>251</v>
      </c>
      <c r="P47" t="s">
        <v>40</v>
      </c>
      <c r="Q47">
        <v>8.7142857142857135</v>
      </c>
      <c r="R47">
        <v>4.2857142857142856</v>
      </c>
      <c r="S47">
        <v>5</v>
      </c>
      <c r="T47">
        <v>6.4</v>
      </c>
    </row>
    <row r="48" spans="1:20" x14ac:dyDescent="0.3">
      <c r="A48" t="s">
        <v>253</v>
      </c>
      <c r="B48" t="s">
        <v>254</v>
      </c>
      <c r="C48" t="s">
        <v>51</v>
      </c>
      <c r="D48" t="s">
        <v>23</v>
      </c>
      <c r="E48" t="s">
        <v>112</v>
      </c>
      <c r="F48">
        <v>12</v>
      </c>
      <c r="G48" t="s">
        <v>255</v>
      </c>
      <c r="H48" t="s">
        <v>46</v>
      </c>
      <c r="I48" t="s">
        <v>256</v>
      </c>
      <c r="J48" t="s">
        <v>70</v>
      </c>
      <c r="K48" t="s">
        <v>29</v>
      </c>
      <c r="L48">
        <v>3</v>
      </c>
      <c r="M48">
        <v>294.52</v>
      </c>
      <c r="N48" t="s">
        <v>255</v>
      </c>
      <c r="O48" t="s">
        <v>257</v>
      </c>
      <c r="P48" t="s">
        <v>31</v>
      </c>
      <c r="Q48">
        <v>2.1875</v>
      </c>
      <c r="R48">
        <v>0.625</v>
      </c>
      <c r="S48">
        <v>6</v>
      </c>
      <c r="T48">
        <v>5.833333333333333</v>
      </c>
    </row>
    <row r="49" spans="1:20" x14ac:dyDescent="0.3">
      <c r="A49" t="s">
        <v>258</v>
      </c>
      <c r="B49" t="s">
        <v>259</v>
      </c>
      <c r="C49" t="s">
        <v>111</v>
      </c>
      <c r="D49" t="s">
        <v>23</v>
      </c>
      <c r="E49" t="s">
        <v>24</v>
      </c>
      <c r="F49">
        <v>150</v>
      </c>
      <c r="G49" t="s">
        <v>260</v>
      </c>
      <c r="H49" t="s">
        <v>26</v>
      </c>
      <c r="I49" t="s">
        <v>261</v>
      </c>
      <c r="J49" t="s">
        <v>56</v>
      </c>
      <c r="K49" t="s">
        <v>29</v>
      </c>
      <c r="L49">
        <v>9</v>
      </c>
      <c r="M49">
        <v>80.36</v>
      </c>
      <c r="N49" t="s">
        <v>260</v>
      </c>
      <c r="P49" t="s">
        <v>40</v>
      </c>
      <c r="Q49">
        <v>20</v>
      </c>
      <c r="R49">
        <v>10.28571428571429</v>
      </c>
      <c r="S49">
        <v>1</v>
      </c>
      <c r="T49">
        <v>5</v>
      </c>
    </row>
    <row r="50" spans="1:20" x14ac:dyDescent="0.3">
      <c r="A50" t="s">
        <v>262</v>
      </c>
      <c r="B50" t="s">
        <v>263</v>
      </c>
      <c r="C50" t="s">
        <v>34</v>
      </c>
      <c r="D50" t="s">
        <v>23</v>
      </c>
      <c r="E50" t="s">
        <v>117</v>
      </c>
      <c r="F50">
        <v>80</v>
      </c>
      <c r="G50" t="s">
        <v>240</v>
      </c>
      <c r="H50" t="s">
        <v>26</v>
      </c>
      <c r="I50" t="s">
        <v>264</v>
      </c>
      <c r="J50" t="s">
        <v>63</v>
      </c>
      <c r="K50" t="s">
        <v>29</v>
      </c>
      <c r="L50">
        <v>5</v>
      </c>
      <c r="M50">
        <v>658.68</v>
      </c>
      <c r="N50" t="s">
        <v>240</v>
      </c>
      <c r="P50" t="s">
        <v>40</v>
      </c>
      <c r="Q50">
        <v>3.4444444444444451</v>
      </c>
      <c r="R50">
        <v>1.6111111111111109</v>
      </c>
      <c r="S50">
        <v>3</v>
      </c>
      <c r="T50">
        <v>5</v>
      </c>
    </row>
    <row r="51" spans="1:20" x14ac:dyDescent="0.3">
      <c r="A51" t="s">
        <v>265</v>
      </c>
      <c r="B51" t="s">
        <v>266</v>
      </c>
      <c r="C51" t="s">
        <v>82</v>
      </c>
      <c r="D51" t="s">
        <v>127</v>
      </c>
      <c r="E51" t="s">
        <v>133</v>
      </c>
      <c r="F51">
        <v>12</v>
      </c>
      <c r="G51" t="s">
        <v>267</v>
      </c>
      <c r="H51" t="s">
        <v>46</v>
      </c>
      <c r="I51" t="s">
        <v>268</v>
      </c>
      <c r="J51" t="s">
        <v>70</v>
      </c>
      <c r="K51" t="s">
        <v>48</v>
      </c>
      <c r="L51">
        <v>6</v>
      </c>
      <c r="M51">
        <v>2098.6</v>
      </c>
      <c r="N51" t="s">
        <v>267</v>
      </c>
      <c r="O51" t="s">
        <v>269</v>
      </c>
      <c r="P51" t="s">
        <v>31</v>
      </c>
      <c r="Q51">
        <v>10.66666666666667</v>
      </c>
      <c r="R51">
        <v>6</v>
      </c>
      <c r="S51">
        <v>7</v>
      </c>
      <c r="T51">
        <v>6.7142857142857144</v>
      </c>
    </row>
    <row r="52" spans="1:20" x14ac:dyDescent="0.3">
      <c r="A52" t="s">
        <v>265</v>
      </c>
      <c r="B52" t="s">
        <v>266</v>
      </c>
      <c r="C52" t="s">
        <v>82</v>
      </c>
      <c r="D52" t="s">
        <v>127</v>
      </c>
      <c r="E52" t="s">
        <v>133</v>
      </c>
      <c r="F52">
        <v>12</v>
      </c>
      <c r="G52" t="s">
        <v>267</v>
      </c>
      <c r="H52" t="s">
        <v>46</v>
      </c>
      <c r="I52" t="s">
        <v>270</v>
      </c>
      <c r="J52" t="s">
        <v>70</v>
      </c>
      <c r="K52" t="s">
        <v>48</v>
      </c>
      <c r="L52">
        <v>10</v>
      </c>
      <c r="M52">
        <v>2578.2800000000002</v>
      </c>
      <c r="N52" t="s">
        <v>271</v>
      </c>
      <c r="P52" t="s">
        <v>40</v>
      </c>
      <c r="Q52">
        <v>10.66666666666667</v>
      </c>
      <c r="R52">
        <v>6</v>
      </c>
      <c r="S52">
        <v>7</v>
      </c>
      <c r="T52">
        <v>6.7142857142857144</v>
      </c>
    </row>
    <row r="53" spans="1:20" x14ac:dyDescent="0.3">
      <c r="A53" t="s">
        <v>272</v>
      </c>
      <c r="B53" t="s">
        <v>273</v>
      </c>
      <c r="C53" t="s">
        <v>51</v>
      </c>
      <c r="D53" t="s">
        <v>43</v>
      </c>
      <c r="E53" t="s">
        <v>78</v>
      </c>
      <c r="F53">
        <v>150</v>
      </c>
      <c r="G53" t="s">
        <v>274</v>
      </c>
      <c r="H53" t="s">
        <v>46</v>
      </c>
      <c r="I53" t="s">
        <v>275</v>
      </c>
      <c r="J53" t="s">
        <v>28</v>
      </c>
      <c r="K53" t="s">
        <v>29</v>
      </c>
      <c r="L53">
        <v>9</v>
      </c>
      <c r="M53">
        <v>326.36</v>
      </c>
      <c r="N53" t="s">
        <v>274</v>
      </c>
      <c r="O53" t="s">
        <v>276</v>
      </c>
      <c r="P53" t="s">
        <v>31</v>
      </c>
      <c r="Q53">
        <v>9.1818181818181817</v>
      </c>
      <c r="R53">
        <v>4.6363636363636367</v>
      </c>
      <c r="S53">
        <v>3</v>
      </c>
      <c r="T53">
        <v>6</v>
      </c>
    </row>
    <row r="54" spans="1:20" x14ac:dyDescent="0.3">
      <c r="A54" t="s">
        <v>272</v>
      </c>
      <c r="B54" t="s">
        <v>273</v>
      </c>
      <c r="C54" t="s">
        <v>51</v>
      </c>
      <c r="D54" t="s">
        <v>43</v>
      </c>
      <c r="E54" t="s">
        <v>78</v>
      </c>
      <c r="F54">
        <v>150</v>
      </c>
      <c r="G54" t="s">
        <v>274</v>
      </c>
      <c r="H54" t="s">
        <v>46</v>
      </c>
      <c r="I54" t="s">
        <v>277</v>
      </c>
      <c r="J54" t="s">
        <v>70</v>
      </c>
      <c r="K54" t="s">
        <v>29</v>
      </c>
      <c r="L54">
        <v>1</v>
      </c>
      <c r="M54">
        <v>1499</v>
      </c>
      <c r="N54" t="s">
        <v>278</v>
      </c>
      <c r="O54" t="s">
        <v>279</v>
      </c>
      <c r="P54" t="s">
        <v>31</v>
      </c>
      <c r="Q54">
        <v>9.1818181818181817</v>
      </c>
      <c r="R54">
        <v>4.6363636363636367</v>
      </c>
      <c r="S54">
        <v>3</v>
      </c>
      <c r="T54">
        <v>6</v>
      </c>
    </row>
    <row r="55" spans="1:20" x14ac:dyDescent="0.3">
      <c r="A55" t="s">
        <v>280</v>
      </c>
      <c r="B55" t="s">
        <v>281</v>
      </c>
      <c r="C55" t="s">
        <v>67</v>
      </c>
      <c r="D55" t="s">
        <v>138</v>
      </c>
      <c r="E55" t="s">
        <v>138</v>
      </c>
      <c r="F55">
        <v>400</v>
      </c>
      <c r="G55" t="s">
        <v>282</v>
      </c>
      <c r="H55" t="s">
        <v>54</v>
      </c>
      <c r="I55" t="s">
        <v>283</v>
      </c>
      <c r="J55" t="s">
        <v>28</v>
      </c>
      <c r="K55" t="s">
        <v>29</v>
      </c>
      <c r="L55">
        <v>5</v>
      </c>
      <c r="M55">
        <v>262.68</v>
      </c>
      <c r="N55" t="s">
        <v>282</v>
      </c>
      <c r="P55" t="s">
        <v>40</v>
      </c>
      <c r="Q55">
        <v>18.399999999999999</v>
      </c>
      <c r="R55">
        <v>10.4</v>
      </c>
      <c r="S55">
        <v>5</v>
      </c>
      <c r="T55">
        <v>7.2</v>
      </c>
    </row>
    <row r="56" spans="1:20" x14ac:dyDescent="0.3">
      <c r="A56" t="s">
        <v>284</v>
      </c>
      <c r="B56" t="s">
        <v>285</v>
      </c>
      <c r="C56" t="s">
        <v>34</v>
      </c>
      <c r="D56" t="s">
        <v>127</v>
      </c>
      <c r="E56" t="s">
        <v>245</v>
      </c>
      <c r="F56">
        <v>150</v>
      </c>
      <c r="G56" t="s">
        <v>286</v>
      </c>
      <c r="H56" t="s">
        <v>46</v>
      </c>
      <c r="I56" t="s">
        <v>287</v>
      </c>
      <c r="J56" t="s">
        <v>28</v>
      </c>
      <c r="K56" t="s">
        <v>29</v>
      </c>
      <c r="L56">
        <v>13</v>
      </c>
      <c r="M56">
        <v>390.04</v>
      </c>
      <c r="N56" t="s">
        <v>286</v>
      </c>
      <c r="P56" t="s">
        <v>40</v>
      </c>
      <c r="Q56">
        <v>11.5</v>
      </c>
      <c r="R56">
        <v>7.375</v>
      </c>
      <c r="S56">
        <v>4</v>
      </c>
      <c r="T56">
        <v>5.25</v>
      </c>
    </row>
    <row r="57" spans="1:20" x14ac:dyDescent="0.3">
      <c r="A57" t="s">
        <v>288</v>
      </c>
      <c r="B57" t="s">
        <v>289</v>
      </c>
      <c r="C57" t="s">
        <v>34</v>
      </c>
      <c r="D57" t="s">
        <v>35</v>
      </c>
      <c r="E57" t="s">
        <v>36</v>
      </c>
      <c r="F57">
        <v>1200</v>
      </c>
      <c r="G57" t="s">
        <v>290</v>
      </c>
      <c r="H57" t="s">
        <v>54</v>
      </c>
      <c r="I57" t="s">
        <v>291</v>
      </c>
      <c r="J57" t="s">
        <v>28</v>
      </c>
      <c r="K57" t="s">
        <v>48</v>
      </c>
      <c r="L57">
        <v>8</v>
      </c>
      <c r="M57">
        <v>310.44</v>
      </c>
      <c r="N57" t="s">
        <v>290</v>
      </c>
      <c r="O57" t="s">
        <v>292</v>
      </c>
      <c r="P57" t="s">
        <v>31</v>
      </c>
      <c r="Q57">
        <v>5.6</v>
      </c>
      <c r="R57">
        <v>2.8666666666666671</v>
      </c>
      <c r="S57">
        <v>2</v>
      </c>
      <c r="T57">
        <v>6.5</v>
      </c>
    </row>
    <row r="58" spans="1:20" x14ac:dyDescent="0.3">
      <c r="A58" t="s">
        <v>293</v>
      </c>
      <c r="B58" t="s">
        <v>294</v>
      </c>
      <c r="C58" t="s">
        <v>67</v>
      </c>
      <c r="D58" t="s">
        <v>23</v>
      </c>
      <c r="E58" t="s">
        <v>112</v>
      </c>
      <c r="F58">
        <v>80</v>
      </c>
      <c r="G58" t="s">
        <v>295</v>
      </c>
      <c r="H58" t="s">
        <v>26</v>
      </c>
      <c r="I58" t="s">
        <v>296</v>
      </c>
      <c r="J58" t="s">
        <v>63</v>
      </c>
      <c r="K58" t="s">
        <v>29</v>
      </c>
      <c r="L58">
        <v>9</v>
      </c>
      <c r="M58">
        <v>818.36</v>
      </c>
      <c r="N58" t="s">
        <v>295</v>
      </c>
      <c r="P58" t="s">
        <v>40</v>
      </c>
      <c r="Q58">
        <v>7</v>
      </c>
      <c r="R58">
        <v>4.5</v>
      </c>
      <c r="S58">
        <v>3</v>
      </c>
      <c r="T58">
        <v>5.333333333333333</v>
      </c>
    </row>
    <row r="59" spans="1:20" x14ac:dyDescent="0.3">
      <c r="A59" t="s">
        <v>297</v>
      </c>
      <c r="B59" t="s">
        <v>298</v>
      </c>
      <c r="C59" t="s">
        <v>82</v>
      </c>
      <c r="D59" t="s">
        <v>35</v>
      </c>
      <c r="E59" t="s">
        <v>52</v>
      </c>
      <c r="F59">
        <v>12</v>
      </c>
      <c r="G59" t="s">
        <v>299</v>
      </c>
      <c r="H59" t="s">
        <v>38</v>
      </c>
      <c r="I59" t="s">
        <v>300</v>
      </c>
      <c r="J59" t="s">
        <v>56</v>
      </c>
      <c r="K59" t="s">
        <v>48</v>
      </c>
      <c r="L59">
        <v>6</v>
      </c>
      <c r="M59">
        <v>68.599999999999994</v>
      </c>
      <c r="N59" t="s">
        <v>299</v>
      </c>
      <c r="O59" t="s">
        <v>301</v>
      </c>
      <c r="P59" t="s">
        <v>31</v>
      </c>
      <c r="Q59">
        <v>7.4444444444444446</v>
      </c>
      <c r="R59">
        <v>3.5555555555555549</v>
      </c>
      <c r="S59">
        <v>3</v>
      </c>
      <c r="T59">
        <v>6</v>
      </c>
    </row>
    <row r="60" spans="1:20" x14ac:dyDescent="0.3">
      <c r="A60" t="s">
        <v>302</v>
      </c>
      <c r="B60" t="s">
        <v>303</v>
      </c>
      <c r="C60" t="s">
        <v>97</v>
      </c>
      <c r="D60" t="s">
        <v>23</v>
      </c>
      <c r="E60" t="s">
        <v>87</v>
      </c>
      <c r="F60">
        <v>80</v>
      </c>
      <c r="G60" t="s">
        <v>304</v>
      </c>
      <c r="H60" t="s">
        <v>99</v>
      </c>
      <c r="I60" t="s">
        <v>305</v>
      </c>
      <c r="J60" t="s">
        <v>63</v>
      </c>
      <c r="K60" t="s">
        <v>48</v>
      </c>
      <c r="L60">
        <v>5</v>
      </c>
      <c r="M60">
        <v>658.68</v>
      </c>
      <c r="N60" t="s">
        <v>304</v>
      </c>
      <c r="P60" t="s">
        <v>40</v>
      </c>
      <c r="Q60">
        <v>2.333333333333333</v>
      </c>
      <c r="R60">
        <v>1</v>
      </c>
      <c r="S60">
        <v>4</v>
      </c>
      <c r="T60">
        <v>4.5</v>
      </c>
    </row>
    <row r="61" spans="1:20" x14ac:dyDescent="0.3">
      <c r="A61" t="s">
        <v>306</v>
      </c>
      <c r="B61" t="s">
        <v>307</v>
      </c>
      <c r="C61" t="s">
        <v>111</v>
      </c>
      <c r="D61" t="s">
        <v>23</v>
      </c>
      <c r="E61" t="s">
        <v>73</v>
      </c>
      <c r="F61">
        <v>1200</v>
      </c>
      <c r="G61" t="s">
        <v>308</v>
      </c>
      <c r="H61" t="s">
        <v>38</v>
      </c>
      <c r="I61" t="s">
        <v>309</v>
      </c>
      <c r="J61" t="s">
        <v>56</v>
      </c>
      <c r="K61" t="s">
        <v>48</v>
      </c>
      <c r="L61">
        <v>8</v>
      </c>
      <c r="M61">
        <v>76.44</v>
      </c>
      <c r="N61" t="s">
        <v>308</v>
      </c>
      <c r="P61" t="s">
        <v>40</v>
      </c>
      <c r="Q61">
        <v>18.571428571428569</v>
      </c>
      <c r="R61">
        <v>9.7142857142857135</v>
      </c>
      <c r="S61">
        <v>1</v>
      </c>
      <c r="T61">
        <v>9</v>
      </c>
    </row>
    <row r="62" spans="1:20" x14ac:dyDescent="0.3">
      <c r="A62" t="s">
        <v>310</v>
      </c>
      <c r="B62" t="s">
        <v>311</v>
      </c>
      <c r="C62" t="s">
        <v>97</v>
      </c>
      <c r="D62" t="s">
        <v>23</v>
      </c>
      <c r="E62" t="s">
        <v>112</v>
      </c>
      <c r="F62">
        <v>12</v>
      </c>
      <c r="G62" t="s">
        <v>312</v>
      </c>
      <c r="H62" t="s">
        <v>38</v>
      </c>
      <c r="I62" t="s">
        <v>313</v>
      </c>
      <c r="J62" t="s">
        <v>56</v>
      </c>
      <c r="K62" t="s">
        <v>29</v>
      </c>
      <c r="L62">
        <v>5</v>
      </c>
      <c r="M62">
        <v>64.680000000000007</v>
      </c>
      <c r="N62" t="s">
        <v>312</v>
      </c>
      <c r="O62" t="s">
        <v>314</v>
      </c>
      <c r="P62" t="s">
        <v>31</v>
      </c>
      <c r="Q62">
        <v>9</v>
      </c>
      <c r="R62">
        <v>4.5999999999999996</v>
      </c>
      <c r="S62">
        <v>1</v>
      </c>
      <c r="T62">
        <v>9</v>
      </c>
    </row>
    <row r="63" spans="1:20" x14ac:dyDescent="0.3">
      <c r="A63" t="s">
        <v>315</v>
      </c>
      <c r="B63" t="s">
        <v>316</v>
      </c>
      <c r="C63" t="s">
        <v>111</v>
      </c>
      <c r="D63" t="s">
        <v>138</v>
      </c>
      <c r="E63" t="s">
        <v>138</v>
      </c>
      <c r="F63">
        <v>80</v>
      </c>
      <c r="G63" t="s">
        <v>317</v>
      </c>
      <c r="H63" t="s">
        <v>46</v>
      </c>
      <c r="I63" t="s">
        <v>318</v>
      </c>
      <c r="J63" t="s">
        <v>63</v>
      </c>
      <c r="K63" t="s">
        <v>48</v>
      </c>
      <c r="L63">
        <v>5</v>
      </c>
      <c r="M63">
        <v>658.68</v>
      </c>
      <c r="N63" t="s">
        <v>317</v>
      </c>
      <c r="P63" t="s">
        <v>40</v>
      </c>
      <c r="Q63">
        <v>18.833333333333329</v>
      </c>
      <c r="R63">
        <v>11.83333333333333</v>
      </c>
      <c r="S63">
        <v>2</v>
      </c>
      <c r="T63">
        <v>6.5</v>
      </c>
    </row>
    <row r="64" spans="1:20" x14ac:dyDescent="0.3">
      <c r="A64" t="s">
        <v>319</v>
      </c>
      <c r="B64" t="s">
        <v>320</v>
      </c>
      <c r="C64" t="s">
        <v>111</v>
      </c>
      <c r="D64" t="s">
        <v>35</v>
      </c>
      <c r="E64" t="s">
        <v>36</v>
      </c>
      <c r="F64">
        <v>150</v>
      </c>
      <c r="G64" t="s">
        <v>274</v>
      </c>
      <c r="H64" t="s">
        <v>46</v>
      </c>
      <c r="I64" t="s">
        <v>321</v>
      </c>
      <c r="J64" t="s">
        <v>56</v>
      </c>
      <c r="K64" t="s">
        <v>48</v>
      </c>
      <c r="L64">
        <v>9</v>
      </c>
      <c r="M64">
        <v>80.36</v>
      </c>
      <c r="N64" t="s">
        <v>274</v>
      </c>
      <c r="P64" t="s">
        <v>40</v>
      </c>
      <c r="Q64">
        <v>21.388888888888889</v>
      </c>
      <c r="R64">
        <v>12.444444444444439</v>
      </c>
      <c r="S64">
        <v>2</v>
      </c>
      <c r="T64">
        <v>5.5</v>
      </c>
    </row>
    <row r="65" spans="1:20" x14ac:dyDescent="0.3">
      <c r="A65" t="s">
        <v>322</v>
      </c>
      <c r="B65" t="s">
        <v>323</v>
      </c>
      <c r="C65" t="s">
        <v>34</v>
      </c>
      <c r="D65" t="s">
        <v>127</v>
      </c>
      <c r="E65" t="s">
        <v>133</v>
      </c>
      <c r="F65">
        <v>150</v>
      </c>
      <c r="G65" t="s">
        <v>324</v>
      </c>
      <c r="H65" t="s">
        <v>26</v>
      </c>
      <c r="I65" t="s">
        <v>325</v>
      </c>
      <c r="J65" t="s">
        <v>28</v>
      </c>
      <c r="K65" t="s">
        <v>29</v>
      </c>
      <c r="L65">
        <v>8</v>
      </c>
      <c r="M65">
        <v>310.44</v>
      </c>
      <c r="N65" t="s">
        <v>324</v>
      </c>
      <c r="P65" t="s">
        <v>40</v>
      </c>
      <c r="Q65">
        <v>14</v>
      </c>
      <c r="R65">
        <v>8.3157894736842106</v>
      </c>
      <c r="S65">
        <v>2</v>
      </c>
      <c r="T65">
        <v>6.5</v>
      </c>
    </row>
    <row r="66" spans="1:20" x14ac:dyDescent="0.3">
      <c r="A66" t="s">
        <v>326</v>
      </c>
      <c r="B66" t="s">
        <v>327</v>
      </c>
      <c r="C66" t="s">
        <v>67</v>
      </c>
      <c r="D66" t="s">
        <v>23</v>
      </c>
      <c r="E66" t="s">
        <v>117</v>
      </c>
      <c r="F66">
        <v>3000</v>
      </c>
      <c r="G66" t="s">
        <v>324</v>
      </c>
      <c r="H66" t="s">
        <v>26</v>
      </c>
      <c r="I66" t="s">
        <v>328</v>
      </c>
      <c r="J66" t="s">
        <v>28</v>
      </c>
      <c r="K66" t="s">
        <v>48</v>
      </c>
      <c r="L66">
        <v>11</v>
      </c>
      <c r="M66">
        <v>358.2</v>
      </c>
      <c r="N66" t="s">
        <v>324</v>
      </c>
      <c r="O66" t="s">
        <v>329</v>
      </c>
      <c r="P66" t="s">
        <v>31</v>
      </c>
      <c r="Q66">
        <v>2</v>
      </c>
      <c r="R66">
        <v>0.66666666666666663</v>
      </c>
      <c r="S66">
        <v>2</v>
      </c>
      <c r="T66">
        <v>5</v>
      </c>
    </row>
    <row r="67" spans="1:20" x14ac:dyDescent="0.3">
      <c r="A67" t="s">
        <v>330</v>
      </c>
      <c r="B67" t="s">
        <v>331</v>
      </c>
      <c r="C67" t="s">
        <v>59</v>
      </c>
      <c r="D67" t="s">
        <v>127</v>
      </c>
      <c r="E67" t="s">
        <v>245</v>
      </c>
      <c r="F67">
        <v>12</v>
      </c>
      <c r="G67" t="s">
        <v>332</v>
      </c>
      <c r="H67" t="s">
        <v>99</v>
      </c>
      <c r="I67" t="s">
        <v>333</v>
      </c>
      <c r="J67" t="s">
        <v>56</v>
      </c>
      <c r="K67" t="s">
        <v>29</v>
      </c>
      <c r="L67">
        <v>3</v>
      </c>
      <c r="M67">
        <v>56.84</v>
      </c>
      <c r="N67" t="s">
        <v>332</v>
      </c>
      <c r="O67" t="s">
        <v>334</v>
      </c>
      <c r="P67" t="s">
        <v>31</v>
      </c>
      <c r="Q67">
        <v>5.2</v>
      </c>
      <c r="R67">
        <v>2.5</v>
      </c>
      <c r="S67">
        <v>4</v>
      </c>
      <c r="T67">
        <v>4.75</v>
      </c>
    </row>
    <row r="68" spans="1:20" x14ac:dyDescent="0.3">
      <c r="A68" t="s">
        <v>335</v>
      </c>
      <c r="B68" t="s">
        <v>336</v>
      </c>
      <c r="C68" t="s">
        <v>59</v>
      </c>
      <c r="D68" t="s">
        <v>23</v>
      </c>
      <c r="E68" t="s">
        <v>112</v>
      </c>
      <c r="F68">
        <v>35</v>
      </c>
      <c r="G68" t="s">
        <v>337</v>
      </c>
      <c r="H68" t="s">
        <v>26</v>
      </c>
      <c r="I68" t="s">
        <v>338</v>
      </c>
      <c r="J68" t="s">
        <v>56</v>
      </c>
      <c r="K68" t="s">
        <v>29</v>
      </c>
      <c r="L68">
        <v>6</v>
      </c>
      <c r="M68">
        <v>68.599999999999994</v>
      </c>
      <c r="N68" t="s">
        <v>337</v>
      </c>
      <c r="P68" t="s">
        <v>40</v>
      </c>
      <c r="Q68">
        <v>8.8000000000000007</v>
      </c>
      <c r="R68">
        <v>3.9</v>
      </c>
      <c r="S68">
        <v>1</v>
      </c>
      <c r="T68">
        <v>8</v>
      </c>
    </row>
    <row r="69" spans="1:20" x14ac:dyDescent="0.3">
      <c r="A69" t="s">
        <v>339</v>
      </c>
      <c r="B69" t="s">
        <v>340</v>
      </c>
      <c r="C69" t="s">
        <v>82</v>
      </c>
      <c r="D69" t="s">
        <v>23</v>
      </c>
      <c r="E69" t="s">
        <v>112</v>
      </c>
      <c r="F69">
        <v>3000</v>
      </c>
      <c r="G69" t="s">
        <v>341</v>
      </c>
      <c r="H69" t="s">
        <v>46</v>
      </c>
      <c r="I69" t="s">
        <v>342</v>
      </c>
      <c r="J69" t="s">
        <v>63</v>
      </c>
      <c r="K69" t="s">
        <v>29</v>
      </c>
      <c r="L69">
        <v>11</v>
      </c>
      <c r="M69">
        <v>898.2</v>
      </c>
      <c r="N69" t="s">
        <v>341</v>
      </c>
      <c r="P69" t="s">
        <v>40</v>
      </c>
      <c r="Q69">
        <v>6</v>
      </c>
      <c r="R69">
        <v>3.1333333333333329</v>
      </c>
      <c r="S69">
        <v>4</v>
      </c>
      <c r="T69">
        <v>6.25</v>
      </c>
    </row>
    <row r="70" spans="1:20" x14ac:dyDescent="0.3">
      <c r="A70" t="s">
        <v>343</v>
      </c>
      <c r="B70" t="s">
        <v>344</v>
      </c>
      <c r="C70" t="s">
        <v>82</v>
      </c>
      <c r="D70" t="s">
        <v>35</v>
      </c>
      <c r="E70" t="s">
        <v>52</v>
      </c>
      <c r="F70">
        <v>80</v>
      </c>
      <c r="G70" t="s">
        <v>345</v>
      </c>
      <c r="H70" t="s">
        <v>46</v>
      </c>
      <c r="I70" t="s">
        <v>346</v>
      </c>
      <c r="J70" t="s">
        <v>56</v>
      </c>
      <c r="K70" t="s">
        <v>29</v>
      </c>
      <c r="L70">
        <v>11</v>
      </c>
      <c r="M70">
        <v>88.2</v>
      </c>
      <c r="N70" t="s">
        <v>345</v>
      </c>
      <c r="P70" t="s">
        <v>40</v>
      </c>
      <c r="Q70">
        <v>5.333333333333333</v>
      </c>
      <c r="R70">
        <v>2.666666666666667</v>
      </c>
      <c r="S70">
        <v>3</v>
      </c>
      <c r="T70">
        <v>3.333333333333333</v>
      </c>
    </row>
    <row r="71" spans="1:20" x14ac:dyDescent="0.3">
      <c r="A71" t="s">
        <v>347</v>
      </c>
      <c r="B71" t="s">
        <v>348</v>
      </c>
      <c r="C71" t="s">
        <v>59</v>
      </c>
      <c r="D71" t="s">
        <v>23</v>
      </c>
      <c r="E71" t="s">
        <v>73</v>
      </c>
      <c r="F71">
        <v>80</v>
      </c>
      <c r="G71" t="s">
        <v>349</v>
      </c>
      <c r="H71" t="s">
        <v>54</v>
      </c>
      <c r="I71" t="s">
        <v>350</v>
      </c>
      <c r="J71" t="s">
        <v>28</v>
      </c>
      <c r="K71" t="s">
        <v>29</v>
      </c>
      <c r="L71">
        <v>9</v>
      </c>
      <c r="M71">
        <v>326.36</v>
      </c>
      <c r="N71" t="s">
        <v>349</v>
      </c>
      <c r="P71" t="s">
        <v>40</v>
      </c>
      <c r="Q71">
        <v>12.63636363636364</v>
      </c>
      <c r="R71">
        <v>7.5454545454545459</v>
      </c>
      <c r="S71">
        <v>6</v>
      </c>
      <c r="T71">
        <v>5.833333333333333</v>
      </c>
    </row>
    <row r="72" spans="1:20" x14ac:dyDescent="0.3">
      <c r="A72" t="s">
        <v>351</v>
      </c>
      <c r="B72" t="s">
        <v>352</v>
      </c>
      <c r="C72" t="s">
        <v>97</v>
      </c>
      <c r="D72" t="s">
        <v>127</v>
      </c>
      <c r="E72" t="s">
        <v>128</v>
      </c>
      <c r="F72">
        <v>150</v>
      </c>
      <c r="G72" t="s">
        <v>353</v>
      </c>
      <c r="H72" t="s">
        <v>46</v>
      </c>
      <c r="I72" t="s">
        <v>354</v>
      </c>
      <c r="J72" t="s">
        <v>28</v>
      </c>
      <c r="K72" t="s">
        <v>48</v>
      </c>
      <c r="L72">
        <v>5</v>
      </c>
      <c r="M72">
        <v>262.68</v>
      </c>
      <c r="N72" t="s">
        <v>353</v>
      </c>
      <c r="P72" t="s">
        <v>40</v>
      </c>
      <c r="Q72">
        <v>2.5</v>
      </c>
      <c r="R72">
        <v>0.5</v>
      </c>
      <c r="S72">
        <v>2</v>
      </c>
      <c r="T72">
        <v>5.5</v>
      </c>
    </row>
    <row r="73" spans="1:20" x14ac:dyDescent="0.3">
      <c r="A73" t="s">
        <v>355</v>
      </c>
      <c r="B73" t="s">
        <v>356</v>
      </c>
      <c r="C73" t="s">
        <v>59</v>
      </c>
      <c r="D73" t="s">
        <v>23</v>
      </c>
      <c r="E73" t="s">
        <v>24</v>
      </c>
      <c r="F73">
        <v>35</v>
      </c>
      <c r="G73" t="s">
        <v>357</v>
      </c>
      <c r="H73" t="s">
        <v>54</v>
      </c>
      <c r="I73" t="s">
        <v>358</v>
      </c>
      <c r="J73" t="s">
        <v>56</v>
      </c>
      <c r="K73" t="s">
        <v>29</v>
      </c>
      <c r="L73">
        <v>9</v>
      </c>
      <c r="M73">
        <v>80.36</v>
      </c>
      <c r="N73" t="s">
        <v>357</v>
      </c>
      <c r="P73" t="s">
        <v>40</v>
      </c>
      <c r="Q73">
        <v>15.41176470588235</v>
      </c>
      <c r="R73">
        <v>8.2941176470588243</v>
      </c>
      <c r="S73">
        <v>2</v>
      </c>
      <c r="T73">
        <v>7.5</v>
      </c>
    </row>
    <row r="74" spans="1:20" x14ac:dyDescent="0.3">
      <c r="A74" t="s">
        <v>359</v>
      </c>
      <c r="B74" t="s">
        <v>360</v>
      </c>
      <c r="C74" t="s">
        <v>67</v>
      </c>
      <c r="D74" t="s">
        <v>35</v>
      </c>
      <c r="E74" t="s">
        <v>52</v>
      </c>
      <c r="F74">
        <v>35</v>
      </c>
      <c r="G74" t="s">
        <v>361</v>
      </c>
      <c r="H74" t="s">
        <v>46</v>
      </c>
      <c r="I74" t="s">
        <v>362</v>
      </c>
      <c r="J74" t="s">
        <v>56</v>
      </c>
      <c r="K74" t="s">
        <v>29</v>
      </c>
      <c r="L74">
        <v>5</v>
      </c>
      <c r="M74">
        <v>64.680000000000007</v>
      </c>
      <c r="N74" t="s">
        <v>361</v>
      </c>
      <c r="P74" t="s">
        <v>40</v>
      </c>
      <c r="S74">
        <v>3</v>
      </c>
      <c r="T74">
        <v>7</v>
      </c>
    </row>
    <row r="75" spans="1:20" x14ac:dyDescent="0.3">
      <c r="A75" t="s">
        <v>363</v>
      </c>
      <c r="B75" t="s">
        <v>364</v>
      </c>
      <c r="C75" t="s">
        <v>82</v>
      </c>
      <c r="D75" t="s">
        <v>127</v>
      </c>
      <c r="E75" t="s">
        <v>245</v>
      </c>
      <c r="F75">
        <v>35</v>
      </c>
      <c r="G75" t="s">
        <v>365</v>
      </c>
      <c r="H75" t="s">
        <v>46</v>
      </c>
      <c r="I75" t="s">
        <v>366</v>
      </c>
      <c r="J75" t="s">
        <v>28</v>
      </c>
      <c r="K75" t="s">
        <v>29</v>
      </c>
      <c r="L75">
        <v>9</v>
      </c>
      <c r="M75">
        <v>326.36</v>
      </c>
      <c r="N75" t="s">
        <v>365</v>
      </c>
      <c r="P75" t="s">
        <v>40</v>
      </c>
      <c r="Q75">
        <v>20.5</v>
      </c>
      <c r="R75">
        <v>10.25</v>
      </c>
      <c r="S75">
        <v>4</v>
      </c>
      <c r="T75">
        <v>6</v>
      </c>
    </row>
    <row r="76" spans="1:20" x14ac:dyDescent="0.3">
      <c r="A76" t="s">
        <v>367</v>
      </c>
      <c r="B76" t="s">
        <v>368</v>
      </c>
      <c r="C76" t="s">
        <v>111</v>
      </c>
      <c r="D76" t="s">
        <v>23</v>
      </c>
      <c r="E76" t="s">
        <v>87</v>
      </c>
      <c r="F76">
        <v>400</v>
      </c>
      <c r="G76" t="s">
        <v>165</v>
      </c>
      <c r="H76" t="s">
        <v>26</v>
      </c>
      <c r="I76" t="s">
        <v>369</v>
      </c>
      <c r="J76" t="s">
        <v>28</v>
      </c>
      <c r="K76" t="s">
        <v>29</v>
      </c>
      <c r="L76">
        <v>6</v>
      </c>
      <c r="M76">
        <v>278.60000000000002</v>
      </c>
      <c r="N76" t="s">
        <v>165</v>
      </c>
      <c r="P76" t="s">
        <v>40</v>
      </c>
      <c r="Q76">
        <v>17.523809523809529</v>
      </c>
      <c r="R76">
        <v>10.047619047619049</v>
      </c>
      <c r="S76">
        <v>8</v>
      </c>
      <c r="T76">
        <v>5.75</v>
      </c>
    </row>
    <row r="77" spans="1:20" x14ac:dyDescent="0.3">
      <c r="A77" t="s">
        <v>370</v>
      </c>
      <c r="B77" t="s">
        <v>371</v>
      </c>
      <c r="C77" t="s">
        <v>59</v>
      </c>
      <c r="D77" t="s">
        <v>35</v>
      </c>
      <c r="E77" t="s">
        <v>36</v>
      </c>
      <c r="F77">
        <v>80</v>
      </c>
      <c r="G77" t="s">
        <v>372</v>
      </c>
      <c r="H77" t="s">
        <v>54</v>
      </c>
      <c r="I77" t="s">
        <v>373</v>
      </c>
      <c r="J77" t="s">
        <v>56</v>
      </c>
      <c r="K77" t="s">
        <v>29</v>
      </c>
      <c r="L77">
        <v>10</v>
      </c>
      <c r="M77">
        <v>84.28</v>
      </c>
      <c r="N77" t="s">
        <v>372</v>
      </c>
      <c r="P77" t="s">
        <v>40</v>
      </c>
      <c r="Q77">
        <v>8.8235294117647065</v>
      </c>
      <c r="R77">
        <v>5.0588235294117636</v>
      </c>
      <c r="S77">
        <v>4</v>
      </c>
      <c r="T77">
        <v>3.25</v>
      </c>
    </row>
    <row r="78" spans="1:20" x14ac:dyDescent="0.3">
      <c r="A78" t="s">
        <v>374</v>
      </c>
      <c r="B78" t="s">
        <v>375</v>
      </c>
      <c r="C78" t="s">
        <v>34</v>
      </c>
      <c r="D78" t="s">
        <v>35</v>
      </c>
      <c r="E78" t="s">
        <v>36</v>
      </c>
      <c r="F78">
        <v>1200</v>
      </c>
      <c r="G78" t="s">
        <v>376</v>
      </c>
      <c r="H78" t="s">
        <v>38</v>
      </c>
      <c r="I78" t="s">
        <v>377</v>
      </c>
      <c r="J78" t="s">
        <v>28</v>
      </c>
      <c r="K78" t="s">
        <v>29</v>
      </c>
      <c r="L78">
        <v>7</v>
      </c>
      <c r="M78">
        <v>294.52</v>
      </c>
      <c r="N78" t="s">
        <v>376</v>
      </c>
      <c r="P78" t="s">
        <v>40</v>
      </c>
      <c r="Q78">
        <v>7.333333333333333</v>
      </c>
      <c r="R78">
        <v>4</v>
      </c>
      <c r="S78">
        <v>5</v>
      </c>
      <c r="T78">
        <v>4.4000000000000004</v>
      </c>
    </row>
    <row r="79" spans="1:20" x14ac:dyDescent="0.3">
      <c r="A79" t="s">
        <v>378</v>
      </c>
      <c r="B79" t="s">
        <v>379</v>
      </c>
      <c r="C79" t="s">
        <v>97</v>
      </c>
      <c r="D79" t="s">
        <v>23</v>
      </c>
      <c r="E79" t="s">
        <v>87</v>
      </c>
      <c r="F79">
        <v>35</v>
      </c>
      <c r="G79" t="s">
        <v>380</v>
      </c>
      <c r="H79" t="s">
        <v>46</v>
      </c>
      <c r="I79" t="s">
        <v>381</v>
      </c>
      <c r="J79" t="s">
        <v>63</v>
      </c>
      <c r="K79" t="s">
        <v>48</v>
      </c>
      <c r="L79">
        <v>7</v>
      </c>
      <c r="M79">
        <v>738.52</v>
      </c>
      <c r="N79" t="s">
        <v>380</v>
      </c>
      <c r="P79" t="s">
        <v>40</v>
      </c>
      <c r="Q79">
        <v>4.875</v>
      </c>
      <c r="R79">
        <v>2.75</v>
      </c>
      <c r="S79">
        <v>5</v>
      </c>
      <c r="T79">
        <v>6.6</v>
      </c>
    </row>
    <row r="80" spans="1:20" x14ac:dyDescent="0.3">
      <c r="A80" t="s">
        <v>382</v>
      </c>
      <c r="B80" t="s">
        <v>383</v>
      </c>
      <c r="C80" t="s">
        <v>82</v>
      </c>
      <c r="D80" t="s">
        <v>23</v>
      </c>
      <c r="E80" t="s">
        <v>112</v>
      </c>
      <c r="F80">
        <v>400</v>
      </c>
      <c r="G80" t="s">
        <v>384</v>
      </c>
      <c r="H80" t="s">
        <v>46</v>
      </c>
      <c r="I80" t="s">
        <v>385</v>
      </c>
      <c r="J80" t="s">
        <v>56</v>
      </c>
      <c r="K80" t="s">
        <v>48</v>
      </c>
      <c r="L80">
        <v>10</v>
      </c>
      <c r="M80">
        <v>84.28</v>
      </c>
      <c r="N80" t="s">
        <v>384</v>
      </c>
      <c r="O80" t="s">
        <v>386</v>
      </c>
      <c r="P80" t="s">
        <v>31</v>
      </c>
      <c r="Q80">
        <v>12.125</v>
      </c>
      <c r="R80">
        <v>5.75</v>
      </c>
      <c r="S80">
        <v>3</v>
      </c>
      <c r="T80">
        <v>4</v>
      </c>
    </row>
    <row r="81" spans="1:20" x14ac:dyDescent="0.3">
      <c r="A81" t="s">
        <v>382</v>
      </c>
      <c r="B81" t="s">
        <v>383</v>
      </c>
      <c r="C81" t="s">
        <v>82</v>
      </c>
      <c r="D81" t="s">
        <v>23</v>
      </c>
      <c r="E81" t="s">
        <v>112</v>
      </c>
      <c r="F81">
        <v>400</v>
      </c>
      <c r="G81" t="s">
        <v>384</v>
      </c>
      <c r="H81" t="s">
        <v>46</v>
      </c>
      <c r="I81" t="s">
        <v>387</v>
      </c>
      <c r="J81" t="s">
        <v>70</v>
      </c>
      <c r="K81" t="s">
        <v>48</v>
      </c>
      <c r="L81">
        <v>9</v>
      </c>
      <c r="M81">
        <v>2458.36</v>
      </c>
      <c r="N81" t="s">
        <v>388</v>
      </c>
      <c r="P81" t="s">
        <v>40</v>
      </c>
      <c r="Q81">
        <v>12.125</v>
      </c>
      <c r="R81">
        <v>5.75</v>
      </c>
      <c r="S81">
        <v>3</v>
      </c>
      <c r="T81">
        <v>4</v>
      </c>
    </row>
    <row r="82" spans="1:20" x14ac:dyDescent="0.3">
      <c r="A82" t="s">
        <v>389</v>
      </c>
      <c r="B82" t="s">
        <v>390</v>
      </c>
      <c r="C82" t="s">
        <v>51</v>
      </c>
      <c r="D82" t="s">
        <v>127</v>
      </c>
      <c r="E82" t="s">
        <v>245</v>
      </c>
      <c r="F82">
        <v>1200</v>
      </c>
      <c r="G82" t="s">
        <v>391</v>
      </c>
      <c r="H82" t="s">
        <v>26</v>
      </c>
      <c r="I82" t="s">
        <v>392</v>
      </c>
      <c r="J82" t="s">
        <v>56</v>
      </c>
      <c r="K82" t="s">
        <v>29</v>
      </c>
      <c r="L82">
        <v>9</v>
      </c>
      <c r="M82">
        <v>80.36</v>
      </c>
      <c r="N82" t="s">
        <v>391</v>
      </c>
      <c r="P82" t="s">
        <v>40</v>
      </c>
      <c r="Q82">
        <v>6.4</v>
      </c>
      <c r="R82">
        <v>3.5</v>
      </c>
      <c r="S82">
        <v>4</v>
      </c>
      <c r="T82">
        <v>7.5</v>
      </c>
    </row>
    <row r="83" spans="1:20" x14ac:dyDescent="0.3">
      <c r="A83" t="s">
        <v>393</v>
      </c>
      <c r="B83" t="s">
        <v>394</v>
      </c>
      <c r="C83" t="s">
        <v>111</v>
      </c>
      <c r="D83" t="s">
        <v>23</v>
      </c>
      <c r="E83" t="s">
        <v>112</v>
      </c>
      <c r="F83">
        <v>12</v>
      </c>
      <c r="G83" t="s">
        <v>395</v>
      </c>
      <c r="H83" t="s">
        <v>46</v>
      </c>
      <c r="I83" t="s">
        <v>396</v>
      </c>
      <c r="J83" t="s">
        <v>56</v>
      </c>
      <c r="K83" t="s">
        <v>29</v>
      </c>
      <c r="L83">
        <v>8</v>
      </c>
      <c r="M83">
        <v>76.44</v>
      </c>
      <c r="N83" t="s">
        <v>395</v>
      </c>
      <c r="P83" t="s">
        <v>40</v>
      </c>
      <c r="Q83">
        <v>3.2</v>
      </c>
      <c r="R83">
        <v>1.3</v>
      </c>
      <c r="S83">
        <v>8</v>
      </c>
      <c r="T83">
        <v>6</v>
      </c>
    </row>
    <row r="84" spans="1:20" x14ac:dyDescent="0.3">
      <c r="A84" t="s">
        <v>397</v>
      </c>
      <c r="B84" t="s">
        <v>398</v>
      </c>
      <c r="C84" t="s">
        <v>82</v>
      </c>
      <c r="D84" t="s">
        <v>127</v>
      </c>
      <c r="E84" t="s">
        <v>245</v>
      </c>
      <c r="F84">
        <v>150</v>
      </c>
      <c r="G84" t="s">
        <v>304</v>
      </c>
      <c r="H84" t="s">
        <v>46</v>
      </c>
      <c r="I84" t="s">
        <v>399</v>
      </c>
      <c r="J84" t="s">
        <v>63</v>
      </c>
      <c r="K84" t="s">
        <v>29</v>
      </c>
      <c r="L84">
        <v>8</v>
      </c>
      <c r="M84">
        <v>778.44</v>
      </c>
      <c r="N84" t="s">
        <v>304</v>
      </c>
      <c r="P84" t="s">
        <v>40</v>
      </c>
      <c r="Q84">
        <v>12.16666666666667</v>
      </c>
      <c r="R84">
        <v>7.166666666666667</v>
      </c>
      <c r="S84">
        <v>5</v>
      </c>
      <c r="T84">
        <v>7.2</v>
      </c>
    </row>
    <row r="85" spans="1:20" x14ac:dyDescent="0.3">
      <c r="A85" t="s">
        <v>400</v>
      </c>
      <c r="B85" t="s">
        <v>401</v>
      </c>
      <c r="C85" t="s">
        <v>111</v>
      </c>
      <c r="D85" t="s">
        <v>23</v>
      </c>
      <c r="E85" t="s">
        <v>160</v>
      </c>
      <c r="F85">
        <v>35</v>
      </c>
      <c r="G85" t="s">
        <v>402</v>
      </c>
      <c r="H85" t="s">
        <v>54</v>
      </c>
      <c r="I85" t="s">
        <v>403</v>
      </c>
      <c r="J85" t="s">
        <v>28</v>
      </c>
      <c r="K85" t="s">
        <v>29</v>
      </c>
      <c r="L85">
        <v>8</v>
      </c>
      <c r="M85">
        <v>310.44</v>
      </c>
      <c r="N85" t="s">
        <v>402</v>
      </c>
      <c r="P85" t="s">
        <v>40</v>
      </c>
      <c r="Q85">
        <v>3.625</v>
      </c>
      <c r="R85">
        <v>1.75</v>
      </c>
      <c r="S85">
        <v>2</v>
      </c>
      <c r="T85">
        <v>5.5</v>
      </c>
    </row>
    <row r="86" spans="1:20" x14ac:dyDescent="0.3">
      <c r="A86" t="s">
        <v>404</v>
      </c>
      <c r="B86" t="s">
        <v>405</v>
      </c>
      <c r="C86" t="s">
        <v>59</v>
      </c>
      <c r="D86" t="s">
        <v>127</v>
      </c>
      <c r="E86" t="s">
        <v>245</v>
      </c>
      <c r="F86">
        <v>12</v>
      </c>
      <c r="G86" t="s">
        <v>406</v>
      </c>
      <c r="H86" t="s">
        <v>61</v>
      </c>
      <c r="I86" t="s">
        <v>407</v>
      </c>
      <c r="J86" t="s">
        <v>56</v>
      </c>
      <c r="K86" t="s">
        <v>29</v>
      </c>
      <c r="L86">
        <v>5</v>
      </c>
      <c r="M86">
        <v>64.680000000000007</v>
      </c>
      <c r="N86" t="s">
        <v>406</v>
      </c>
      <c r="P86" t="s">
        <v>40</v>
      </c>
      <c r="Q86">
        <v>2.333333333333333</v>
      </c>
      <c r="R86">
        <v>0.88888888888888884</v>
      </c>
      <c r="S86">
        <v>3</v>
      </c>
      <c r="T86">
        <v>6.666666666666667</v>
      </c>
    </row>
    <row r="87" spans="1:20" x14ac:dyDescent="0.3">
      <c r="A87" t="s">
        <v>408</v>
      </c>
      <c r="B87" t="s">
        <v>409</v>
      </c>
      <c r="C87" t="s">
        <v>34</v>
      </c>
      <c r="D87" t="s">
        <v>23</v>
      </c>
      <c r="E87" t="s">
        <v>73</v>
      </c>
      <c r="F87">
        <v>35</v>
      </c>
      <c r="G87" t="s">
        <v>410</v>
      </c>
      <c r="H87" t="s">
        <v>26</v>
      </c>
      <c r="I87" t="s">
        <v>411</v>
      </c>
      <c r="J87" t="s">
        <v>28</v>
      </c>
      <c r="K87" t="s">
        <v>29</v>
      </c>
      <c r="L87">
        <v>7</v>
      </c>
      <c r="M87">
        <v>294.52</v>
      </c>
      <c r="N87" t="s">
        <v>410</v>
      </c>
      <c r="P87" t="s">
        <v>40</v>
      </c>
      <c r="Q87">
        <v>13.142857142857141</v>
      </c>
      <c r="R87">
        <v>5.8571428571428568</v>
      </c>
      <c r="S87">
        <v>6</v>
      </c>
      <c r="T87">
        <v>4.333333333333333</v>
      </c>
    </row>
    <row r="88" spans="1:20" x14ac:dyDescent="0.3">
      <c r="A88" t="s">
        <v>412</v>
      </c>
      <c r="B88" t="s">
        <v>413</v>
      </c>
      <c r="C88" t="s">
        <v>51</v>
      </c>
      <c r="D88" t="s">
        <v>23</v>
      </c>
      <c r="E88" t="s">
        <v>117</v>
      </c>
      <c r="F88">
        <v>1200</v>
      </c>
      <c r="G88" t="s">
        <v>53</v>
      </c>
      <c r="H88" t="s">
        <v>46</v>
      </c>
      <c r="I88" t="s">
        <v>414</v>
      </c>
      <c r="J88" t="s">
        <v>56</v>
      </c>
      <c r="K88" t="s">
        <v>48</v>
      </c>
      <c r="L88">
        <v>9</v>
      </c>
      <c r="M88">
        <v>80.36</v>
      </c>
      <c r="N88" t="s">
        <v>53</v>
      </c>
      <c r="P88" t="s">
        <v>40</v>
      </c>
      <c r="Q88">
        <v>6.3</v>
      </c>
      <c r="R88">
        <v>3.1</v>
      </c>
      <c r="S88">
        <v>1</v>
      </c>
      <c r="T88">
        <v>5</v>
      </c>
    </row>
    <row r="89" spans="1:20" x14ac:dyDescent="0.3">
      <c r="A89" t="s">
        <v>415</v>
      </c>
      <c r="B89" t="s">
        <v>416</v>
      </c>
      <c r="C89" t="s">
        <v>34</v>
      </c>
      <c r="D89" t="s">
        <v>138</v>
      </c>
      <c r="E89" t="s">
        <v>138</v>
      </c>
      <c r="F89">
        <v>35</v>
      </c>
      <c r="G89" t="s">
        <v>417</v>
      </c>
      <c r="H89" t="s">
        <v>46</v>
      </c>
      <c r="I89" t="s">
        <v>418</v>
      </c>
      <c r="J89" t="s">
        <v>28</v>
      </c>
      <c r="K89" t="s">
        <v>29</v>
      </c>
      <c r="L89">
        <v>7</v>
      </c>
      <c r="M89">
        <v>294.52</v>
      </c>
      <c r="N89" t="s">
        <v>417</v>
      </c>
      <c r="P89" t="s">
        <v>40</v>
      </c>
      <c r="S89">
        <v>5</v>
      </c>
      <c r="T89">
        <v>6.6</v>
      </c>
    </row>
    <row r="90" spans="1:20" x14ac:dyDescent="0.3">
      <c r="A90" t="s">
        <v>419</v>
      </c>
      <c r="B90" t="s">
        <v>420</v>
      </c>
      <c r="C90" t="s">
        <v>59</v>
      </c>
      <c r="D90" t="s">
        <v>138</v>
      </c>
      <c r="E90" t="s">
        <v>138</v>
      </c>
      <c r="F90">
        <v>12</v>
      </c>
      <c r="G90" t="s">
        <v>421</v>
      </c>
      <c r="H90" t="s">
        <v>54</v>
      </c>
      <c r="I90" t="s">
        <v>422</v>
      </c>
      <c r="J90" t="s">
        <v>63</v>
      </c>
      <c r="K90" t="s">
        <v>48</v>
      </c>
      <c r="L90">
        <v>4</v>
      </c>
      <c r="M90">
        <v>618.76</v>
      </c>
      <c r="N90" t="s">
        <v>421</v>
      </c>
      <c r="O90" t="s">
        <v>423</v>
      </c>
      <c r="P90" t="s">
        <v>31</v>
      </c>
      <c r="Q90">
        <v>13.625</v>
      </c>
      <c r="R90">
        <v>7.5</v>
      </c>
      <c r="S90">
        <v>2</v>
      </c>
      <c r="T90">
        <v>8</v>
      </c>
    </row>
    <row r="91" spans="1:20" x14ac:dyDescent="0.3">
      <c r="A91" t="s">
        <v>424</v>
      </c>
      <c r="B91" t="s">
        <v>425</v>
      </c>
      <c r="C91" t="s">
        <v>111</v>
      </c>
      <c r="D91" t="s">
        <v>127</v>
      </c>
      <c r="E91" t="s">
        <v>133</v>
      </c>
      <c r="F91">
        <v>400</v>
      </c>
      <c r="G91" t="s">
        <v>426</v>
      </c>
      <c r="H91" t="s">
        <v>46</v>
      </c>
      <c r="I91" t="s">
        <v>427</v>
      </c>
      <c r="J91" t="s">
        <v>63</v>
      </c>
      <c r="K91" t="s">
        <v>29</v>
      </c>
      <c r="L91">
        <v>9</v>
      </c>
      <c r="M91">
        <v>818.36</v>
      </c>
      <c r="N91" t="s">
        <v>426</v>
      </c>
      <c r="P91" t="s">
        <v>40</v>
      </c>
      <c r="Q91">
        <v>2.1904761904761911</v>
      </c>
      <c r="R91">
        <v>1</v>
      </c>
      <c r="S91">
        <v>2</v>
      </c>
      <c r="T91">
        <v>2.5</v>
      </c>
    </row>
    <row r="92" spans="1:20" x14ac:dyDescent="0.3">
      <c r="A92" t="s">
        <v>428</v>
      </c>
      <c r="B92" t="s">
        <v>429</v>
      </c>
      <c r="C92" t="s">
        <v>51</v>
      </c>
      <c r="D92" t="s">
        <v>23</v>
      </c>
      <c r="E92" t="s">
        <v>117</v>
      </c>
      <c r="F92">
        <v>12</v>
      </c>
      <c r="G92" t="s">
        <v>430</v>
      </c>
      <c r="H92" t="s">
        <v>61</v>
      </c>
      <c r="I92" t="s">
        <v>431</v>
      </c>
      <c r="J92" t="s">
        <v>56</v>
      </c>
      <c r="K92" t="s">
        <v>48</v>
      </c>
      <c r="L92">
        <v>4</v>
      </c>
      <c r="M92">
        <v>60.76</v>
      </c>
      <c r="N92" t="s">
        <v>430</v>
      </c>
      <c r="P92" t="s">
        <v>40</v>
      </c>
      <c r="Q92">
        <v>5</v>
      </c>
      <c r="R92">
        <v>3</v>
      </c>
      <c r="S92">
        <v>4</v>
      </c>
      <c r="T92">
        <v>5.75</v>
      </c>
    </row>
    <row r="93" spans="1:20" x14ac:dyDescent="0.3">
      <c r="A93" t="s">
        <v>432</v>
      </c>
      <c r="B93" t="s">
        <v>433</v>
      </c>
      <c r="C93" t="s">
        <v>97</v>
      </c>
      <c r="D93" t="s">
        <v>43</v>
      </c>
      <c r="E93" t="s">
        <v>44</v>
      </c>
      <c r="F93">
        <v>12</v>
      </c>
      <c r="G93" t="s">
        <v>434</v>
      </c>
      <c r="H93" t="s">
        <v>99</v>
      </c>
      <c r="I93" t="s">
        <v>435</v>
      </c>
      <c r="J93" t="s">
        <v>28</v>
      </c>
      <c r="K93" t="s">
        <v>29</v>
      </c>
      <c r="L93">
        <v>8</v>
      </c>
      <c r="M93">
        <v>310.44</v>
      </c>
      <c r="N93" t="s">
        <v>434</v>
      </c>
      <c r="P93" t="s">
        <v>40</v>
      </c>
      <c r="Q93">
        <v>3.4210526315789469</v>
      </c>
      <c r="R93">
        <v>1.631578947368421</v>
      </c>
      <c r="S93">
        <v>3</v>
      </c>
      <c r="T93">
        <v>6.333333333333333</v>
      </c>
    </row>
    <row r="94" spans="1:20" x14ac:dyDescent="0.3">
      <c r="A94" t="s">
        <v>436</v>
      </c>
      <c r="B94" t="s">
        <v>437</v>
      </c>
      <c r="C94" t="s">
        <v>67</v>
      </c>
      <c r="D94" t="s">
        <v>35</v>
      </c>
      <c r="E94" t="s">
        <v>36</v>
      </c>
      <c r="F94">
        <v>150</v>
      </c>
      <c r="G94" t="s">
        <v>438</v>
      </c>
      <c r="H94" t="s">
        <v>46</v>
      </c>
      <c r="I94" t="s">
        <v>439</v>
      </c>
      <c r="J94" t="s">
        <v>56</v>
      </c>
      <c r="K94" t="s">
        <v>29</v>
      </c>
      <c r="L94">
        <v>9</v>
      </c>
      <c r="M94">
        <v>294.52</v>
      </c>
      <c r="N94" t="s">
        <v>438</v>
      </c>
      <c r="P94" t="s">
        <v>40</v>
      </c>
      <c r="Q94">
        <v>2.75</v>
      </c>
      <c r="R94">
        <v>1.125</v>
      </c>
      <c r="S94">
        <v>4</v>
      </c>
      <c r="T94">
        <v>7.5</v>
      </c>
    </row>
    <row r="95" spans="1:20" x14ac:dyDescent="0.3">
      <c r="A95" t="s">
        <v>440</v>
      </c>
      <c r="B95" t="s">
        <v>441</v>
      </c>
      <c r="C95" t="s">
        <v>67</v>
      </c>
      <c r="D95" t="s">
        <v>138</v>
      </c>
      <c r="E95" t="s">
        <v>138</v>
      </c>
      <c r="F95">
        <v>150</v>
      </c>
      <c r="G95" t="s">
        <v>442</v>
      </c>
      <c r="H95" t="s">
        <v>54</v>
      </c>
      <c r="I95" t="s">
        <v>443</v>
      </c>
      <c r="J95" t="s">
        <v>28</v>
      </c>
      <c r="K95" t="s">
        <v>29</v>
      </c>
      <c r="L95">
        <v>9</v>
      </c>
      <c r="M95">
        <v>326.36</v>
      </c>
      <c r="N95" t="s">
        <v>442</v>
      </c>
      <c r="O95" t="s">
        <v>444</v>
      </c>
      <c r="P95" t="s">
        <v>31</v>
      </c>
      <c r="Q95">
        <v>3</v>
      </c>
      <c r="R95">
        <v>1.333333333333333</v>
      </c>
      <c r="S95">
        <v>3</v>
      </c>
      <c r="T95">
        <v>6.333333333333333</v>
      </c>
    </row>
    <row r="96" spans="1:20" x14ac:dyDescent="0.3">
      <c r="A96" t="s">
        <v>445</v>
      </c>
      <c r="B96" t="s">
        <v>446</v>
      </c>
      <c r="C96" t="s">
        <v>34</v>
      </c>
      <c r="D96" t="s">
        <v>23</v>
      </c>
      <c r="E96" t="s">
        <v>160</v>
      </c>
      <c r="F96">
        <v>35</v>
      </c>
      <c r="G96" t="s">
        <v>447</v>
      </c>
      <c r="H96" t="s">
        <v>99</v>
      </c>
      <c r="I96" t="s">
        <v>448</v>
      </c>
      <c r="J96" t="s">
        <v>63</v>
      </c>
      <c r="K96" t="s">
        <v>48</v>
      </c>
      <c r="L96">
        <v>4</v>
      </c>
      <c r="M96">
        <v>618.76</v>
      </c>
      <c r="N96" t="s">
        <v>447</v>
      </c>
      <c r="P96" t="s">
        <v>40</v>
      </c>
      <c r="Q96">
        <v>6.5</v>
      </c>
      <c r="R96">
        <v>3</v>
      </c>
      <c r="S96">
        <v>3</v>
      </c>
      <c r="T96">
        <v>1</v>
      </c>
    </row>
    <row r="97" spans="1:20" x14ac:dyDescent="0.3">
      <c r="A97" t="s">
        <v>449</v>
      </c>
      <c r="B97" t="s">
        <v>450</v>
      </c>
      <c r="C97" t="s">
        <v>51</v>
      </c>
      <c r="D97" t="s">
        <v>23</v>
      </c>
      <c r="E97" t="s">
        <v>73</v>
      </c>
      <c r="F97">
        <v>150</v>
      </c>
      <c r="G97" t="s">
        <v>451</v>
      </c>
      <c r="H97" t="s">
        <v>46</v>
      </c>
      <c r="I97" t="s">
        <v>452</v>
      </c>
      <c r="J97" t="s">
        <v>56</v>
      </c>
      <c r="K97" t="s">
        <v>29</v>
      </c>
      <c r="L97">
        <v>6</v>
      </c>
      <c r="M97">
        <v>68.599999999999994</v>
      </c>
      <c r="N97" t="s">
        <v>451</v>
      </c>
      <c r="P97" t="s">
        <v>40</v>
      </c>
      <c r="Q97">
        <v>7</v>
      </c>
      <c r="R97">
        <v>2</v>
      </c>
      <c r="S97">
        <v>2</v>
      </c>
      <c r="T97">
        <v>4.5</v>
      </c>
    </row>
    <row r="98" spans="1:20" x14ac:dyDescent="0.3">
      <c r="A98" t="s">
        <v>453</v>
      </c>
      <c r="B98" t="s">
        <v>454</v>
      </c>
      <c r="C98" t="s">
        <v>51</v>
      </c>
      <c r="D98" t="s">
        <v>23</v>
      </c>
      <c r="E98" t="s">
        <v>117</v>
      </c>
      <c r="F98">
        <v>400</v>
      </c>
      <c r="G98" t="s">
        <v>455</v>
      </c>
      <c r="H98" t="s">
        <v>46</v>
      </c>
      <c r="I98" t="s">
        <v>456</v>
      </c>
      <c r="J98" t="s">
        <v>63</v>
      </c>
      <c r="K98" t="s">
        <v>29</v>
      </c>
      <c r="L98">
        <v>5</v>
      </c>
      <c r="M98">
        <v>658.68</v>
      </c>
      <c r="N98" t="s">
        <v>455</v>
      </c>
      <c r="P98" t="s">
        <v>40</v>
      </c>
      <c r="Q98">
        <v>13.15</v>
      </c>
      <c r="R98">
        <v>7.95</v>
      </c>
      <c r="S98">
        <v>5</v>
      </c>
      <c r="T98">
        <v>5.4</v>
      </c>
    </row>
    <row r="99" spans="1:20" x14ac:dyDescent="0.3">
      <c r="A99" t="s">
        <v>457</v>
      </c>
      <c r="B99" t="s">
        <v>458</v>
      </c>
      <c r="C99" t="s">
        <v>51</v>
      </c>
      <c r="D99" t="s">
        <v>127</v>
      </c>
      <c r="E99" t="s">
        <v>128</v>
      </c>
      <c r="F99">
        <v>80</v>
      </c>
      <c r="G99" t="s">
        <v>459</v>
      </c>
      <c r="H99" t="s">
        <v>38</v>
      </c>
      <c r="I99" t="s">
        <v>460</v>
      </c>
      <c r="J99" t="s">
        <v>70</v>
      </c>
      <c r="K99" t="s">
        <v>29</v>
      </c>
      <c r="L99">
        <v>4</v>
      </c>
      <c r="M99">
        <v>1858.76</v>
      </c>
      <c r="N99" t="s">
        <v>459</v>
      </c>
      <c r="P99" t="s">
        <v>40</v>
      </c>
      <c r="Q99">
        <v>17.13636363636364</v>
      </c>
      <c r="R99">
        <v>9.3636363636363633</v>
      </c>
      <c r="S99">
        <v>2</v>
      </c>
      <c r="T99">
        <v>5</v>
      </c>
    </row>
    <row r="100" spans="1:20" x14ac:dyDescent="0.3">
      <c r="A100" t="s">
        <v>461</v>
      </c>
      <c r="B100" t="s">
        <v>462</v>
      </c>
      <c r="C100" t="s">
        <v>59</v>
      </c>
      <c r="D100" t="s">
        <v>138</v>
      </c>
      <c r="E100" t="s">
        <v>138</v>
      </c>
      <c r="F100">
        <v>400</v>
      </c>
      <c r="G100" t="s">
        <v>463</v>
      </c>
      <c r="H100" t="s">
        <v>54</v>
      </c>
      <c r="I100" t="s">
        <v>464</v>
      </c>
      <c r="J100" t="s">
        <v>56</v>
      </c>
      <c r="K100" t="s">
        <v>29</v>
      </c>
      <c r="L100">
        <v>7</v>
      </c>
      <c r="M100">
        <v>72.52</v>
      </c>
      <c r="N100" t="s">
        <v>463</v>
      </c>
      <c r="P100" t="s">
        <v>40</v>
      </c>
      <c r="Q100">
        <v>7.3913043478260869</v>
      </c>
      <c r="R100">
        <v>4</v>
      </c>
      <c r="S100">
        <v>2</v>
      </c>
      <c r="T100">
        <v>2</v>
      </c>
    </row>
    <row r="101" spans="1:20" x14ac:dyDescent="0.3">
      <c r="A101" t="s">
        <v>465</v>
      </c>
      <c r="B101" t="s">
        <v>466</v>
      </c>
      <c r="C101" t="s">
        <v>34</v>
      </c>
      <c r="D101" t="s">
        <v>127</v>
      </c>
      <c r="E101" t="s">
        <v>133</v>
      </c>
      <c r="F101">
        <v>150</v>
      </c>
      <c r="G101" t="s">
        <v>467</v>
      </c>
      <c r="H101" t="s">
        <v>46</v>
      </c>
      <c r="I101" t="s">
        <v>468</v>
      </c>
      <c r="J101" t="s">
        <v>28</v>
      </c>
      <c r="K101" t="s">
        <v>48</v>
      </c>
      <c r="L101">
        <v>8</v>
      </c>
      <c r="M101">
        <v>310.44</v>
      </c>
      <c r="N101" t="s">
        <v>467</v>
      </c>
      <c r="P101" t="s">
        <v>40</v>
      </c>
      <c r="Q101">
        <v>15.1</v>
      </c>
      <c r="R101">
        <v>7.5</v>
      </c>
      <c r="S101">
        <v>5</v>
      </c>
      <c r="T101">
        <v>6.4</v>
      </c>
    </row>
    <row r="102" spans="1:20" x14ac:dyDescent="0.3">
      <c r="A102" t="s">
        <v>469</v>
      </c>
      <c r="B102" t="s">
        <v>470</v>
      </c>
      <c r="C102" t="s">
        <v>59</v>
      </c>
      <c r="D102" t="s">
        <v>127</v>
      </c>
      <c r="E102" t="s">
        <v>133</v>
      </c>
      <c r="F102">
        <v>1200</v>
      </c>
      <c r="G102" t="s">
        <v>471</v>
      </c>
      <c r="H102" t="s">
        <v>26</v>
      </c>
      <c r="I102" t="s">
        <v>472</v>
      </c>
      <c r="J102" t="s">
        <v>56</v>
      </c>
      <c r="K102" t="s">
        <v>29</v>
      </c>
      <c r="L102">
        <v>6</v>
      </c>
      <c r="M102">
        <v>68.599999999999994</v>
      </c>
      <c r="N102" t="s">
        <v>471</v>
      </c>
      <c r="O102" t="s">
        <v>473</v>
      </c>
      <c r="P102" t="s">
        <v>31</v>
      </c>
      <c r="Q102">
        <v>4</v>
      </c>
      <c r="R102">
        <v>2</v>
      </c>
      <c r="S102">
        <v>5</v>
      </c>
      <c r="T102">
        <v>7</v>
      </c>
    </row>
    <row r="103" spans="1:20" x14ac:dyDescent="0.3">
      <c r="A103" t="s">
        <v>474</v>
      </c>
      <c r="B103" t="s">
        <v>475</v>
      </c>
      <c r="C103" t="s">
        <v>59</v>
      </c>
      <c r="D103" t="s">
        <v>35</v>
      </c>
      <c r="E103" t="s">
        <v>36</v>
      </c>
      <c r="F103">
        <v>12</v>
      </c>
      <c r="G103" t="s">
        <v>476</v>
      </c>
      <c r="H103" t="s">
        <v>46</v>
      </c>
      <c r="I103" t="s">
        <v>477</v>
      </c>
      <c r="J103" t="s">
        <v>63</v>
      </c>
      <c r="K103" t="s">
        <v>48</v>
      </c>
      <c r="L103">
        <v>9</v>
      </c>
      <c r="M103">
        <v>818.36</v>
      </c>
      <c r="N103" t="s">
        <v>476</v>
      </c>
      <c r="P103" t="s">
        <v>40</v>
      </c>
      <c r="Q103">
        <v>8.6666666666666661</v>
      </c>
      <c r="R103">
        <v>4.2222222222222223</v>
      </c>
      <c r="S103">
        <v>3</v>
      </c>
      <c r="T103">
        <v>5</v>
      </c>
    </row>
    <row r="104" spans="1:20" x14ac:dyDescent="0.3">
      <c r="A104" t="s">
        <v>478</v>
      </c>
      <c r="B104" t="s">
        <v>479</v>
      </c>
      <c r="C104" t="s">
        <v>59</v>
      </c>
      <c r="D104" t="s">
        <v>23</v>
      </c>
      <c r="E104" t="s">
        <v>117</v>
      </c>
      <c r="F104">
        <v>1200</v>
      </c>
      <c r="G104" t="s">
        <v>480</v>
      </c>
      <c r="H104" t="s">
        <v>26</v>
      </c>
      <c r="I104" t="s">
        <v>481</v>
      </c>
      <c r="J104" t="s">
        <v>56</v>
      </c>
      <c r="K104" t="s">
        <v>29</v>
      </c>
      <c r="L104">
        <v>11</v>
      </c>
      <c r="M104">
        <v>88.2</v>
      </c>
      <c r="N104" t="s">
        <v>480</v>
      </c>
      <c r="O104" t="s">
        <v>482</v>
      </c>
      <c r="P104" t="s">
        <v>31</v>
      </c>
      <c r="Q104">
        <v>5.3076923076923066</v>
      </c>
      <c r="R104">
        <v>2.5384615384615379</v>
      </c>
      <c r="S104">
        <v>3</v>
      </c>
      <c r="T104">
        <v>6.333333333333333</v>
      </c>
    </row>
    <row r="105" spans="1:20" x14ac:dyDescent="0.3">
      <c r="A105" t="s">
        <v>483</v>
      </c>
      <c r="B105" t="s">
        <v>484</v>
      </c>
      <c r="C105" t="s">
        <v>97</v>
      </c>
      <c r="D105" t="s">
        <v>43</v>
      </c>
      <c r="E105" t="s">
        <v>78</v>
      </c>
      <c r="F105">
        <v>80</v>
      </c>
      <c r="G105" t="s">
        <v>485</v>
      </c>
      <c r="H105" t="s">
        <v>54</v>
      </c>
      <c r="I105" t="s">
        <v>486</v>
      </c>
      <c r="J105" t="s">
        <v>70</v>
      </c>
      <c r="K105" t="s">
        <v>29</v>
      </c>
      <c r="L105">
        <v>6</v>
      </c>
      <c r="M105">
        <v>2098.6</v>
      </c>
      <c r="N105" t="s">
        <v>485</v>
      </c>
      <c r="P105" t="s">
        <v>40</v>
      </c>
      <c r="Q105">
        <v>16.5</v>
      </c>
      <c r="R105">
        <v>8.3333333333333339</v>
      </c>
      <c r="S105">
        <v>2</v>
      </c>
      <c r="T105">
        <v>4.5</v>
      </c>
    </row>
    <row r="106" spans="1:20" x14ac:dyDescent="0.3">
      <c r="A106" t="s">
        <v>487</v>
      </c>
      <c r="B106" t="s">
        <v>488</v>
      </c>
      <c r="C106" t="s">
        <v>34</v>
      </c>
      <c r="D106" t="s">
        <v>35</v>
      </c>
      <c r="E106" t="s">
        <v>36</v>
      </c>
      <c r="F106">
        <v>400</v>
      </c>
      <c r="G106" t="s">
        <v>489</v>
      </c>
      <c r="H106" t="s">
        <v>61</v>
      </c>
      <c r="I106" t="s">
        <v>490</v>
      </c>
      <c r="J106" t="s">
        <v>28</v>
      </c>
      <c r="K106" t="s">
        <v>48</v>
      </c>
      <c r="L106">
        <v>7</v>
      </c>
      <c r="M106">
        <v>294.52</v>
      </c>
      <c r="N106" t="s">
        <v>489</v>
      </c>
      <c r="P106" t="s">
        <v>40</v>
      </c>
      <c r="Q106">
        <v>7.2173913043478262</v>
      </c>
      <c r="R106">
        <v>3.7391304347826089</v>
      </c>
      <c r="S106">
        <v>2</v>
      </c>
      <c r="T106">
        <v>4</v>
      </c>
    </row>
    <row r="107" spans="1:20" x14ac:dyDescent="0.3">
      <c r="A107" t="s">
        <v>491</v>
      </c>
      <c r="B107" t="s">
        <v>492</v>
      </c>
      <c r="C107" t="s">
        <v>51</v>
      </c>
      <c r="D107" t="s">
        <v>23</v>
      </c>
      <c r="E107" t="s">
        <v>73</v>
      </c>
      <c r="F107">
        <v>150</v>
      </c>
      <c r="G107" t="s">
        <v>493</v>
      </c>
      <c r="H107" t="s">
        <v>26</v>
      </c>
      <c r="I107" t="s">
        <v>494</v>
      </c>
      <c r="J107" t="s">
        <v>70</v>
      </c>
      <c r="K107" t="s">
        <v>29</v>
      </c>
      <c r="L107">
        <v>7</v>
      </c>
      <c r="M107">
        <v>2218.52</v>
      </c>
      <c r="N107" t="s">
        <v>493</v>
      </c>
      <c r="P107" t="s">
        <v>495</v>
      </c>
      <c r="Q107">
        <v>14.95454545454546</v>
      </c>
      <c r="R107">
        <v>8.2272727272727266</v>
      </c>
      <c r="S107">
        <v>2</v>
      </c>
      <c r="T107">
        <v>6.5</v>
      </c>
    </row>
    <row r="108" spans="1:20" x14ac:dyDescent="0.3">
      <c r="A108" t="s">
        <v>496</v>
      </c>
      <c r="B108" t="s">
        <v>497</v>
      </c>
      <c r="C108" t="s">
        <v>51</v>
      </c>
      <c r="D108" t="s">
        <v>23</v>
      </c>
      <c r="E108" t="s">
        <v>117</v>
      </c>
      <c r="F108">
        <v>1200</v>
      </c>
      <c r="G108" t="s">
        <v>498</v>
      </c>
      <c r="H108" t="s">
        <v>22</v>
      </c>
      <c r="I108" t="s">
        <v>499</v>
      </c>
      <c r="J108" t="s">
        <v>70</v>
      </c>
      <c r="K108" t="s">
        <v>29</v>
      </c>
      <c r="L108">
        <v>14</v>
      </c>
      <c r="M108">
        <v>3057.96</v>
      </c>
      <c r="N108" t="s">
        <v>498</v>
      </c>
      <c r="P108" t="s">
        <v>40</v>
      </c>
      <c r="Q108">
        <v>11.388888888888889</v>
      </c>
      <c r="R108">
        <v>7.0555555555555554</v>
      </c>
      <c r="S108">
        <v>2</v>
      </c>
      <c r="T108">
        <v>5</v>
      </c>
    </row>
    <row r="109" spans="1:20" x14ac:dyDescent="0.3">
      <c r="A109" t="s">
        <v>500</v>
      </c>
      <c r="B109" t="s">
        <v>501</v>
      </c>
      <c r="C109" t="s">
        <v>34</v>
      </c>
      <c r="D109" t="s">
        <v>138</v>
      </c>
      <c r="E109" t="s">
        <v>138</v>
      </c>
      <c r="F109">
        <v>12</v>
      </c>
      <c r="G109" t="s">
        <v>502</v>
      </c>
      <c r="H109" t="s">
        <v>99</v>
      </c>
      <c r="I109" t="s">
        <v>503</v>
      </c>
      <c r="J109" t="s">
        <v>56</v>
      </c>
      <c r="K109" t="s">
        <v>48</v>
      </c>
      <c r="L109">
        <v>7</v>
      </c>
      <c r="M109">
        <v>72.52</v>
      </c>
      <c r="N109" t="s">
        <v>502</v>
      </c>
      <c r="P109" t="s">
        <v>40</v>
      </c>
      <c r="Q109">
        <v>4.666666666666667</v>
      </c>
      <c r="R109">
        <v>2</v>
      </c>
      <c r="S109">
        <v>1</v>
      </c>
      <c r="T109">
        <v>2</v>
      </c>
    </row>
    <row r="110" spans="1:20" x14ac:dyDescent="0.3">
      <c r="A110" t="s">
        <v>504</v>
      </c>
      <c r="B110" t="s">
        <v>505</v>
      </c>
      <c r="C110" t="s">
        <v>111</v>
      </c>
      <c r="D110" t="s">
        <v>23</v>
      </c>
      <c r="E110" t="s">
        <v>160</v>
      </c>
      <c r="F110">
        <v>12</v>
      </c>
      <c r="G110" t="s">
        <v>506</v>
      </c>
      <c r="H110" t="s">
        <v>46</v>
      </c>
      <c r="I110" t="s">
        <v>507</v>
      </c>
      <c r="J110" t="s">
        <v>63</v>
      </c>
      <c r="K110" t="s">
        <v>29</v>
      </c>
      <c r="L110">
        <v>6</v>
      </c>
      <c r="M110">
        <v>698.6</v>
      </c>
      <c r="N110" t="s">
        <v>506</v>
      </c>
      <c r="P110" t="s">
        <v>40</v>
      </c>
      <c r="Q110">
        <v>9.0833333333333339</v>
      </c>
      <c r="R110">
        <v>5</v>
      </c>
      <c r="S110">
        <v>2</v>
      </c>
      <c r="T110">
        <v>6.5</v>
      </c>
    </row>
    <row r="111" spans="1:20" x14ac:dyDescent="0.3">
      <c r="A111" t="s">
        <v>508</v>
      </c>
      <c r="B111" t="s">
        <v>509</v>
      </c>
      <c r="C111" t="s">
        <v>59</v>
      </c>
      <c r="D111" t="s">
        <v>138</v>
      </c>
      <c r="E111" t="s">
        <v>138</v>
      </c>
      <c r="F111">
        <v>80</v>
      </c>
      <c r="G111" t="s">
        <v>510</v>
      </c>
      <c r="H111" t="s">
        <v>38</v>
      </c>
      <c r="I111" t="s">
        <v>511</v>
      </c>
      <c r="J111" t="s">
        <v>28</v>
      </c>
      <c r="K111" t="s">
        <v>48</v>
      </c>
      <c r="L111">
        <v>1</v>
      </c>
      <c r="M111">
        <v>199</v>
      </c>
      <c r="N111" t="s">
        <v>510</v>
      </c>
      <c r="P111" t="s">
        <v>40</v>
      </c>
      <c r="Q111">
        <v>4.75</v>
      </c>
      <c r="R111">
        <v>2.75</v>
      </c>
      <c r="S111">
        <v>3</v>
      </c>
      <c r="T111">
        <v>4.333333333333333</v>
      </c>
    </row>
    <row r="112" spans="1:20" x14ac:dyDescent="0.3">
      <c r="A112" t="s">
        <v>512</v>
      </c>
      <c r="B112" t="s">
        <v>513</v>
      </c>
      <c r="C112" t="s">
        <v>51</v>
      </c>
      <c r="D112" t="s">
        <v>23</v>
      </c>
      <c r="E112" t="s">
        <v>87</v>
      </c>
      <c r="F112">
        <v>3000</v>
      </c>
      <c r="G112" t="s">
        <v>514</v>
      </c>
      <c r="H112" t="s">
        <v>54</v>
      </c>
      <c r="I112" t="s">
        <v>515</v>
      </c>
      <c r="J112" t="s">
        <v>56</v>
      </c>
      <c r="K112" t="s">
        <v>29</v>
      </c>
      <c r="L112">
        <v>5</v>
      </c>
      <c r="M112">
        <v>64.680000000000007</v>
      </c>
      <c r="N112" t="s">
        <v>514</v>
      </c>
      <c r="O112" t="s">
        <v>516</v>
      </c>
      <c r="P112" t="s">
        <v>31</v>
      </c>
      <c r="Q112">
        <v>10.07692307692308</v>
      </c>
      <c r="R112">
        <v>5.2307692307692308</v>
      </c>
      <c r="S112">
        <v>4</v>
      </c>
      <c r="T112">
        <v>4.75</v>
      </c>
    </row>
    <row r="113" spans="1:20" x14ac:dyDescent="0.3">
      <c r="A113" t="s">
        <v>517</v>
      </c>
      <c r="B113" t="s">
        <v>518</v>
      </c>
      <c r="C113" t="s">
        <v>22</v>
      </c>
      <c r="D113" t="s">
        <v>138</v>
      </c>
      <c r="E113" t="s">
        <v>138</v>
      </c>
      <c r="F113">
        <v>150</v>
      </c>
      <c r="G113" t="s">
        <v>519</v>
      </c>
      <c r="H113" t="s">
        <v>26</v>
      </c>
      <c r="I113" t="s">
        <v>520</v>
      </c>
      <c r="J113" t="s">
        <v>56</v>
      </c>
      <c r="K113" t="s">
        <v>29</v>
      </c>
      <c r="L113">
        <v>6</v>
      </c>
      <c r="M113">
        <v>68.599999999999994</v>
      </c>
      <c r="N113" t="s">
        <v>519</v>
      </c>
      <c r="P113" t="s">
        <v>495</v>
      </c>
      <c r="Q113">
        <v>13.29166666666667</v>
      </c>
      <c r="R113">
        <v>8.125</v>
      </c>
      <c r="S113">
        <v>2</v>
      </c>
      <c r="T113">
        <v>8.5</v>
      </c>
    </row>
    <row r="114" spans="1:20" x14ac:dyDescent="0.3">
      <c r="A114" t="s">
        <v>521</v>
      </c>
      <c r="B114" t="s">
        <v>522</v>
      </c>
      <c r="C114" t="s">
        <v>51</v>
      </c>
      <c r="D114" t="s">
        <v>43</v>
      </c>
      <c r="E114" t="s">
        <v>44</v>
      </c>
      <c r="F114">
        <v>80</v>
      </c>
      <c r="G114" t="s">
        <v>523</v>
      </c>
      <c r="H114" t="s">
        <v>46</v>
      </c>
      <c r="I114" t="s">
        <v>524</v>
      </c>
      <c r="J114" t="s">
        <v>28</v>
      </c>
      <c r="K114" t="s">
        <v>29</v>
      </c>
      <c r="L114">
        <v>5</v>
      </c>
      <c r="M114">
        <v>262.68</v>
      </c>
      <c r="N114" t="s">
        <v>523</v>
      </c>
      <c r="P114" t="s">
        <v>40</v>
      </c>
      <c r="Q114">
        <v>17.260869565217391</v>
      </c>
      <c r="R114">
        <v>9.4782608695652169</v>
      </c>
      <c r="S114">
        <v>6</v>
      </c>
      <c r="T114">
        <v>6.166666666666667</v>
      </c>
    </row>
    <row r="115" spans="1:20" x14ac:dyDescent="0.3">
      <c r="A115" t="s">
        <v>525</v>
      </c>
      <c r="B115" t="s">
        <v>526</v>
      </c>
      <c r="C115" t="s">
        <v>111</v>
      </c>
      <c r="D115" t="s">
        <v>35</v>
      </c>
      <c r="E115" t="s">
        <v>52</v>
      </c>
      <c r="F115">
        <v>35</v>
      </c>
      <c r="G115" t="s">
        <v>304</v>
      </c>
      <c r="H115" t="s">
        <v>61</v>
      </c>
      <c r="I115" t="s">
        <v>527</v>
      </c>
      <c r="J115" t="s">
        <v>28</v>
      </c>
      <c r="K115" t="s">
        <v>48</v>
      </c>
      <c r="L115">
        <v>7</v>
      </c>
      <c r="M115">
        <v>294.52</v>
      </c>
      <c r="N115" t="s">
        <v>304</v>
      </c>
      <c r="P115" t="s">
        <v>40</v>
      </c>
      <c r="Q115">
        <v>11.66666666666667</v>
      </c>
      <c r="R115">
        <v>6.166666666666667</v>
      </c>
      <c r="S115">
        <v>1</v>
      </c>
      <c r="T115">
        <v>7</v>
      </c>
    </row>
    <row r="116" spans="1:20" x14ac:dyDescent="0.3">
      <c r="A116" t="s">
        <v>528</v>
      </c>
      <c r="B116" t="s">
        <v>529</v>
      </c>
      <c r="C116" t="s">
        <v>22</v>
      </c>
      <c r="D116" t="s">
        <v>43</v>
      </c>
      <c r="E116" t="s">
        <v>78</v>
      </c>
      <c r="F116">
        <v>35</v>
      </c>
      <c r="G116" t="s">
        <v>530</v>
      </c>
      <c r="H116" t="s">
        <v>46</v>
      </c>
      <c r="I116" t="s">
        <v>531</v>
      </c>
      <c r="J116" t="s">
        <v>63</v>
      </c>
      <c r="K116" t="s">
        <v>29</v>
      </c>
      <c r="L116">
        <v>5</v>
      </c>
      <c r="M116">
        <v>658.68</v>
      </c>
      <c r="N116" t="s">
        <v>530</v>
      </c>
      <c r="P116" t="s">
        <v>40</v>
      </c>
      <c r="Q116">
        <v>13.857142857142859</v>
      </c>
      <c r="R116">
        <v>8.1428571428571423</v>
      </c>
      <c r="S116">
        <v>6</v>
      </c>
      <c r="T116">
        <v>5.166666666666667</v>
      </c>
    </row>
    <row r="117" spans="1:20" x14ac:dyDescent="0.3">
      <c r="A117" t="s">
        <v>532</v>
      </c>
      <c r="B117" t="s">
        <v>533</v>
      </c>
      <c r="C117" t="s">
        <v>82</v>
      </c>
      <c r="D117" t="s">
        <v>35</v>
      </c>
      <c r="E117" t="s">
        <v>36</v>
      </c>
      <c r="F117">
        <v>1200</v>
      </c>
      <c r="G117" t="s">
        <v>240</v>
      </c>
      <c r="H117" t="s">
        <v>54</v>
      </c>
      <c r="I117" t="s">
        <v>534</v>
      </c>
      <c r="J117" t="s">
        <v>56</v>
      </c>
      <c r="K117" t="s">
        <v>48</v>
      </c>
      <c r="L117">
        <v>7</v>
      </c>
      <c r="M117">
        <v>72.52</v>
      </c>
      <c r="N117" t="s">
        <v>240</v>
      </c>
      <c r="O117" t="s">
        <v>535</v>
      </c>
      <c r="P117" t="s">
        <v>31</v>
      </c>
      <c r="Q117">
        <v>12.3125</v>
      </c>
      <c r="R117">
        <v>7.1875</v>
      </c>
      <c r="S117">
        <v>7</v>
      </c>
      <c r="T117">
        <v>6</v>
      </c>
    </row>
    <row r="118" spans="1:20" x14ac:dyDescent="0.3">
      <c r="A118" t="s">
        <v>536</v>
      </c>
      <c r="B118" t="s">
        <v>537</v>
      </c>
      <c r="C118" t="s">
        <v>97</v>
      </c>
      <c r="D118" t="s">
        <v>23</v>
      </c>
      <c r="E118" t="s">
        <v>112</v>
      </c>
      <c r="F118">
        <v>12</v>
      </c>
      <c r="G118" t="s">
        <v>538</v>
      </c>
      <c r="H118" t="s">
        <v>61</v>
      </c>
      <c r="I118" t="s">
        <v>539</v>
      </c>
      <c r="J118" t="s">
        <v>70</v>
      </c>
      <c r="K118" t="s">
        <v>48</v>
      </c>
      <c r="L118">
        <v>10</v>
      </c>
      <c r="M118">
        <v>2578.2800000000002</v>
      </c>
      <c r="N118" t="s">
        <v>538</v>
      </c>
      <c r="P118" t="s">
        <v>40</v>
      </c>
      <c r="Q118">
        <v>18.75</v>
      </c>
      <c r="R118">
        <v>14.5</v>
      </c>
      <c r="S118">
        <v>5</v>
      </c>
      <c r="T118">
        <v>5</v>
      </c>
    </row>
    <row r="119" spans="1:20" x14ac:dyDescent="0.3">
      <c r="A119" t="s">
        <v>540</v>
      </c>
      <c r="B119" t="s">
        <v>541</v>
      </c>
      <c r="C119" t="s">
        <v>67</v>
      </c>
      <c r="D119" t="s">
        <v>127</v>
      </c>
      <c r="E119" t="s">
        <v>133</v>
      </c>
      <c r="F119">
        <v>35</v>
      </c>
      <c r="G119" t="s">
        <v>542</v>
      </c>
      <c r="H119" t="s">
        <v>61</v>
      </c>
      <c r="I119" t="s">
        <v>543</v>
      </c>
      <c r="J119" t="s">
        <v>56</v>
      </c>
      <c r="K119" t="s">
        <v>29</v>
      </c>
      <c r="L119">
        <v>9</v>
      </c>
      <c r="M119">
        <v>80.36</v>
      </c>
      <c r="N119" t="s">
        <v>542</v>
      </c>
      <c r="P119" t="s">
        <v>40</v>
      </c>
      <c r="Q119">
        <v>21.5</v>
      </c>
      <c r="R119">
        <v>13.5</v>
      </c>
      <c r="S119">
        <v>2</v>
      </c>
      <c r="T119">
        <v>4.5</v>
      </c>
    </row>
    <row r="120" spans="1:20" x14ac:dyDescent="0.3">
      <c r="A120" t="s">
        <v>544</v>
      </c>
      <c r="B120" t="s">
        <v>545</v>
      </c>
      <c r="C120" t="s">
        <v>34</v>
      </c>
      <c r="D120" t="s">
        <v>43</v>
      </c>
      <c r="E120" t="s">
        <v>44</v>
      </c>
      <c r="F120">
        <v>12</v>
      </c>
      <c r="G120" t="s">
        <v>546</v>
      </c>
      <c r="H120" t="s">
        <v>54</v>
      </c>
      <c r="I120" t="s">
        <v>547</v>
      </c>
      <c r="J120" t="s">
        <v>56</v>
      </c>
      <c r="K120" t="s">
        <v>29</v>
      </c>
      <c r="L120">
        <v>11</v>
      </c>
      <c r="M120">
        <v>88.2</v>
      </c>
      <c r="N120" t="s">
        <v>546</v>
      </c>
      <c r="O120" t="s">
        <v>548</v>
      </c>
      <c r="P120" t="s">
        <v>31</v>
      </c>
      <c r="Q120">
        <v>8</v>
      </c>
      <c r="R120">
        <v>2.75</v>
      </c>
      <c r="S120">
        <v>5</v>
      </c>
      <c r="T120">
        <v>6</v>
      </c>
    </row>
    <row r="121" spans="1:20" x14ac:dyDescent="0.3">
      <c r="A121" t="s">
        <v>549</v>
      </c>
      <c r="B121" t="s">
        <v>323</v>
      </c>
      <c r="C121" t="s">
        <v>34</v>
      </c>
      <c r="D121" t="s">
        <v>23</v>
      </c>
      <c r="E121" t="s">
        <v>117</v>
      </c>
      <c r="F121">
        <v>35</v>
      </c>
      <c r="G121" t="s">
        <v>550</v>
      </c>
      <c r="H121" t="s">
        <v>54</v>
      </c>
      <c r="I121" t="s">
        <v>551</v>
      </c>
      <c r="J121" t="s">
        <v>56</v>
      </c>
      <c r="K121" t="s">
        <v>48</v>
      </c>
      <c r="L121">
        <v>9</v>
      </c>
      <c r="M121">
        <v>80.36</v>
      </c>
      <c r="N121" t="s">
        <v>550</v>
      </c>
      <c r="P121" t="s">
        <v>40</v>
      </c>
      <c r="Q121">
        <v>3</v>
      </c>
      <c r="R121">
        <v>2</v>
      </c>
      <c r="S121">
        <v>5</v>
      </c>
      <c r="T121">
        <v>5.2</v>
      </c>
    </row>
    <row r="122" spans="1:20" x14ac:dyDescent="0.3">
      <c r="A122" t="s">
        <v>552</v>
      </c>
      <c r="B122" t="s">
        <v>553</v>
      </c>
      <c r="C122" t="s">
        <v>82</v>
      </c>
      <c r="D122" t="s">
        <v>43</v>
      </c>
      <c r="E122" t="s">
        <v>78</v>
      </c>
      <c r="F122">
        <v>400</v>
      </c>
      <c r="G122" t="s">
        <v>554</v>
      </c>
      <c r="H122" t="s">
        <v>99</v>
      </c>
      <c r="I122" t="s">
        <v>555</v>
      </c>
      <c r="J122" t="s">
        <v>63</v>
      </c>
      <c r="K122" t="s">
        <v>29</v>
      </c>
      <c r="L122">
        <v>7</v>
      </c>
      <c r="M122">
        <v>738.52</v>
      </c>
      <c r="N122" t="s">
        <v>554</v>
      </c>
      <c r="O122" t="s">
        <v>337</v>
      </c>
      <c r="P122" t="s">
        <v>31</v>
      </c>
      <c r="Q122">
        <v>7</v>
      </c>
      <c r="R122">
        <v>5</v>
      </c>
      <c r="S122">
        <v>3</v>
      </c>
      <c r="T122">
        <v>4.666666666666667</v>
      </c>
    </row>
    <row r="123" spans="1:20" x14ac:dyDescent="0.3">
      <c r="A123" t="s">
        <v>556</v>
      </c>
      <c r="B123" t="s">
        <v>557</v>
      </c>
      <c r="C123" t="s">
        <v>82</v>
      </c>
      <c r="D123" t="s">
        <v>43</v>
      </c>
      <c r="E123" t="s">
        <v>78</v>
      </c>
      <c r="F123">
        <v>400</v>
      </c>
      <c r="G123" t="s">
        <v>558</v>
      </c>
      <c r="H123" t="s">
        <v>99</v>
      </c>
      <c r="I123" t="s">
        <v>559</v>
      </c>
      <c r="J123" t="s">
        <v>28</v>
      </c>
      <c r="K123" t="s">
        <v>29</v>
      </c>
      <c r="L123">
        <v>6</v>
      </c>
      <c r="M123">
        <v>278.60000000000002</v>
      </c>
      <c r="N123" t="s">
        <v>558</v>
      </c>
      <c r="P123" t="s">
        <v>40</v>
      </c>
      <c r="Q123">
        <v>4.166666666666667</v>
      </c>
      <c r="R123">
        <v>1.5</v>
      </c>
      <c r="S123">
        <v>1</v>
      </c>
      <c r="T123">
        <v>2</v>
      </c>
    </row>
    <row r="124" spans="1:20" x14ac:dyDescent="0.3">
      <c r="A124" t="s">
        <v>560</v>
      </c>
      <c r="B124" t="s">
        <v>561</v>
      </c>
      <c r="C124" t="s">
        <v>59</v>
      </c>
      <c r="D124" t="s">
        <v>23</v>
      </c>
      <c r="E124" t="s">
        <v>160</v>
      </c>
      <c r="F124">
        <v>80</v>
      </c>
      <c r="G124" t="s">
        <v>562</v>
      </c>
      <c r="H124" t="s">
        <v>38</v>
      </c>
      <c r="I124" t="s">
        <v>563</v>
      </c>
      <c r="J124" t="s">
        <v>56</v>
      </c>
      <c r="K124" t="s">
        <v>29</v>
      </c>
      <c r="L124">
        <v>7</v>
      </c>
      <c r="M124">
        <v>72.52</v>
      </c>
      <c r="N124" t="s">
        <v>562</v>
      </c>
      <c r="P124" t="s">
        <v>40</v>
      </c>
      <c r="Q124">
        <v>7.9444444444444446</v>
      </c>
      <c r="R124">
        <v>4.333333333333333</v>
      </c>
      <c r="S124">
        <v>3</v>
      </c>
      <c r="T124">
        <v>7.333333333333333</v>
      </c>
    </row>
    <row r="125" spans="1:20" x14ac:dyDescent="0.3">
      <c r="A125" t="s">
        <v>564</v>
      </c>
      <c r="B125" t="s">
        <v>565</v>
      </c>
      <c r="C125" t="s">
        <v>67</v>
      </c>
      <c r="D125" t="s">
        <v>43</v>
      </c>
      <c r="E125" t="s">
        <v>78</v>
      </c>
      <c r="F125">
        <v>80</v>
      </c>
      <c r="G125" t="s">
        <v>566</v>
      </c>
      <c r="H125" t="s">
        <v>61</v>
      </c>
      <c r="I125" t="s">
        <v>567</v>
      </c>
      <c r="J125" t="s">
        <v>28</v>
      </c>
      <c r="K125" t="s">
        <v>29</v>
      </c>
      <c r="L125">
        <v>8</v>
      </c>
      <c r="M125">
        <v>310.44</v>
      </c>
      <c r="N125" t="s">
        <v>566</v>
      </c>
      <c r="P125" t="s">
        <v>40</v>
      </c>
      <c r="Q125">
        <v>7.5714285714285712</v>
      </c>
      <c r="R125">
        <v>4.4285714285714288</v>
      </c>
      <c r="S125">
        <v>2</v>
      </c>
      <c r="T125">
        <v>5</v>
      </c>
    </row>
    <row r="126" spans="1:20" x14ac:dyDescent="0.3">
      <c r="A126" t="s">
        <v>568</v>
      </c>
      <c r="B126" t="s">
        <v>569</v>
      </c>
      <c r="C126" t="s">
        <v>59</v>
      </c>
      <c r="D126" t="s">
        <v>23</v>
      </c>
      <c r="E126" t="s">
        <v>117</v>
      </c>
      <c r="F126">
        <v>1200</v>
      </c>
      <c r="G126" t="s">
        <v>570</v>
      </c>
      <c r="H126" t="s">
        <v>99</v>
      </c>
      <c r="I126" t="s">
        <v>571</v>
      </c>
      <c r="J126" t="s">
        <v>70</v>
      </c>
      <c r="K126" t="s">
        <v>29</v>
      </c>
      <c r="L126">
        <v>4</v>
      </c>
      <c r="M126">
        <v>1858.76</v>
      </c>
      <c r="N126" t="s">
        <v>570</v>
      </c>
      <c r="P126" t="s">
        <v>40</v>
      </c>
      <c r="Q126">
        <v>17.19047619047619</v>
      </c>
      <c r="R126">
        <v>9.0476190476190474</v>
      </c>
      <c r="S126">
        <v>3</v>
      </c>
      <c r="T126">
        <v>6</v>
      </c>
    </row>
    <row r="127" spans="1:20" x14ac:dyDescent="0.3">
      <c r="A127" t="s">
        <v>572</v>
      </c>
      <c r="B127" t="s">
        <v>573</v>
      </c>
      <c r="C127" t="s">
        <v>59</v>
      </c>
      <c r="D127" t="s">
        <v>23</v>
      </c>
      <c r="E127" t="s">
        <v>160</v>
      </c>
      <c r="F127">
        <v>12</v>
      </c>
      <c r="G127" t="s">
        <v>574</v>
      </c>
      <c r="H127" t="s">
        <v>38</v>
      </c>
      <c r="I127" t="s">
        <v>575</v>
      </c>
      <c r="J127" t="s">
        <v>28</v>
      </c>
      <c r="K127" t="s">
        <v>29</v>
      </c>
      <c r="L127">
        <v>8</v>
      </c>
      <c r="M127">
        <v>310.44</v>
      </c>
      <c r="N127" t="s">
        <v>574</v>
      </c>
      <c r="O127" t="s">
        <v>576</v>
      </c>
      <c r="P127" t="s">
        <v>31</v>
      </c>
      <c r="Q127">
        <v>6.375</v>
      </c>
      <c r="R127">
        <v>3.25</v>
      </c>
      <c r="S127">
        <v>3</v>
      </c>
      <c r="T127">
        <v>5</v>
      </c>
    </row>
    <row r="128" spans="1:20" x14ac:dyDescent="0.3">
      <c r="A128" t="s">
        <v>577</v>
      </c>
      <c r="B128" t="s">
        <v>578</v>
      </c>
      <c r="C128" t="s">
        <v>67</v>
      </c>
      <c r="D128" t="s">
        <v>23</v>
      </c>
      <c r="E128" t="s">
        <v>117</v>
      </c>
      <c r="F128">
        <v>400</v>
      </c>
      <c r="G128" t="s">
        <v>579</v>
      </c>
      <c r="H128" t="s">
        <v>61</v>
      </c>
      <c r="I128" t="s">
        <v>580</v>
      </c>
      <c r="J128" t="s">
        <v>56</v>
      </c>
      <c r="K128" t="s">
        <v>48</v>
      </c>
      <c r="L128">
        <v>12</v>
      </c>
      <c r="M128">
        <v>92.12</v>
      </c>
      <c r="N128" t="s">
        <v>579</v>
      </c>
      <c r="P128" t="s">
        <v>40</v>
      </c>
      <c r="Q128">
        <v>12.875</v>
      </c>
      <c r="R128">
        <v>8</v>
      </c>
      <c r="S128">
        <v>5</v>
      </c>
      <c r="T128">
        <v>5</v>
      </c>
    </row>
    <row r="129" spans="1:20" x14ac:dyDescent="0.3">
      <c r="A129" t="s">
        <v>581</v>
      </c>
      <c r="B129" t="s">
        <v>582</v>
      </c>
      <c r="C129" t="s">
        <v>67</v>
      </c>
      <c r="D129" t="s">
        <v>35</v>
      </c>
      <c r="E129" t="s">
        <v>52</v>
      </c>
      <c r="F129">
        <v>150</v>
      </c>
      <c r="G129" t="s">
        <v>583</v>
      </c>
      <c r="H129" t="s">
        <v>54</v>
      </c>
      <c r="I129" t="s">
        <v>584</v>
      </c>
      <c r="J129" t="s">
        <v>28</v>
      </c>
      <c r="K129" t="s">
        <v>48</v>
      </c>
      <c r="L129">
        <v>6</v>
      </c>
      <c r="M129">
        <v>278.60000000000002</v>
      </c>
      <c r="N129" t="s">
        <v>583</v>
      </c>
      <c r="P129" t="s">
        <v>40</v>
      </c>
      <c r="Q129">
        <v>5.4</v>
      </c>
      <c r="R129">
        <v>3.2</v>
      </c>
      <c r="S129">
        <v>1</v>
      </c>
      <c r="T129">
        <v>6</v>
      </c>
    </row>
    <row r="130" spans="1:20" x14ac:dyDescent="0.3">
      <c r="A130" t="s">
        <v>585</v>
      </c>
      <c r="B130" t="s">
        <v>586</v>
      </c>
      <c r="C130" t="s">
        <v>111</v>
      </c>
      <c r="D130" t="s">
        <v>35</v>
      </c>
      <c r="E130" t="s">
        <v>36</v>
      </c>
      <c r="F130">
        <v>12</v>
      </c>
      <c r="G130" t="s">
        <v>421</v>
      </c>
      <c r="H130" t="s">
        <v>38</v>
      </c>
      <c r="I130" t="s">
        <v>587</v>
      </c>
      <c r="J130" t="s">
        <v>56</v>
      </c>
      <c r="K130" t="s">
        <v>29</v>
      </c>
      <c r="L130">
        <v>11</v>
      </c>
      <c r="M130">
        <v>88.2</v>
      </c>
      <c r="N130" t="s">
        <v>421</v>
      </c>
      <c r="O130" t="s">
        <v>588</v>
      </c>
      <c r="P130" t="s">
        <v>31</v>
      </c>
      <c r="Q130">
        <v>12.21428571428571</v>
      </c>
      <c r="R130">
        <v>6.9285714285714288</v>
      </c>
      <c r="S130">
        <v>5</v>
      </c>
      <c r="T130">
        <v>5.6</v>
      </c>
    </row>
    <row r="131" spans="1:20" x14ac:dyDescent="0.3">
      <c r="A131" t="s">
        <v>589</v>
      </c>
      <c r="B131" t="s">
        <v>590</v>
      </c>
      <c r="C131" t="s">
        <v>51</v>
      </c>
      <c r="D131" t="s">
        <v>23</v>
      </c>
      <c r="E131" t="s">
        <v>112</v>
      </c>
      <c r="F131">
        <v>35</v>
      </c>
      <c r="G131" t="s">
        <v>591</v>
      </c>
      <c r="H131" t="s">
        <v>61</v>
      </c>
      <c r="I131" t="s">
        <v>592</v>
      </c>
      <c r="J131" t="s">
        <v>56</v>
      </c>
      <c r="K131" t="s">
        <v>29</v>
      </c>
      <c r="L131">
        <v>13</v>
      </c>
      <c r="M131">
        <v>96.04</v>
      </c>
      <c r="N131" t="s">
        <v>591</v>
      </c>
      <c r="P131" t="s">
        <v>40</v>
      </c>
      <c r="Q131">
        <v>13.2</v>
      </c>
      <c r="R131">
        <v>8.7333333333333325</v>
      </c>
      <c r="S131">
        <v>4</v>
      </c>
      <c r="T131">
        <v>5.25</v>
      </c>
    </row>
    <row r="132" spans="1:20" x14ac:dyDescent="0.3">
      <c r="A132" t="s">
        <v>593</v>
      </c>
      <c r="B132" t="s">
        <v>594</v>
      </c>
      <c r="C132" t="s">
        <v>82</v>
      </c>
      <c r="D132" t="s">
        <v>43</v>
      </c>
      <c r="E132" t="s">
        <v>78</v>
      </c>
      <c r="F132">
        <v>35</v>
      </c>
      <c r="G132" t="s">
        <v>595</v>
      </c>
      <c r="H132" t="s">
        <v>54</v>
      </c>
      <c r="I132" t="s">
        <v>596</v>
      </c>
      <c r="J132" t="s">
        <v>28</v>
      </c>
      <c r="K132" t="s">
        <v>48</v>
      </c>
      <c r="L132">
        <v>6</v>
      </c>
      <c r="M132">
        <v>278.60000000000002</v>
      </c>
      <c r="N132" t="s">
        <v>595</v>
      </c>
      <c r="P132" t="s">
        <v>40</v>
      </c>
      <c r="Q132">
        <v>17.3</v>
      </c>
      <c r="R132">
        <v>9.1</v>
      </c>
      <c r="S132">
        <v>6</v>
      </c>
      <c r="T132">
        <v>4.166666666666667</v>
      </c>
    </row>
    <row r="133" spans="1:20" x14ac:dyDescent="0.3">
      <c r="A133" t="s">
        <v>597</v>
      </c>
      <c r="B133" t="s">
        <v>203</v>
      </c>
      <c r="C133" t="s">
        <v>34</v>
      </c>
      <c r="D133" t="s">
        <v>23</v>
      </c>
      <c r="E133" t="s">
        <v>117</v>
      </c>
      <c r="F133">
        <v>400</v>
      </c>
      <c r="G133" t="s">
        <v>598</v>
      </c>
      <c r="H133" t="s">
        <v>46</v>
      </c>
      <c r="I133" t="s">
        <v>599</v>
      </c>
      <c r="J133" t="s">
        <v>56</v>
      </c>
      <c r="K133" t="s">
        <v>29</v>
      </c>
      <c r="L133">
        <v>11</v>
      </c>
      <c r="M133">
        <v>88.2</v>
      </c>
      <c r="N133" t="s">
        <v>598</v>
      </c>
      <c r="P133" t="s">
        <v>40</v>
      </c>
      <c r="Q133">
        <v>20.3125</v>
      </c>
      <c r="R133">
        <v>11.6875</v>
      </c>
      <c r="S133">
        <v>2</v>
      </c>
      <c r="T133">
        <v>6.5</v>
      </c>
    </row>
    <row r="134" spans="1:20" x14ac:dyDescent="0.3">
      <c r="A134" t="s">
        <v>600</v>
      </c>
      <c r="B134" t="s">
        <v>601</v>
      </c>
      <c r="C134" t="s">
        <v>67</v>
      </c>
      <c r="D134" t="s">
        <v>23</v>
      </c>
      <c r="E134" t="s">
        <v>117</v>
      </c>
      <c r="F134">
        <v>3000</v>
      </c>
      <c r="G134" t="s">
        <v>384</v>
      </c>
      <c r="H134" t="s">
        <v>38</v>
      </c>
      <c r="I134" t="s">
        <v>602</v>
      </c>
      <c r="J134" t="s">
        <v>63</v>
      </c>
      <c r="K134" t="s">
        <v>48</v>
      </c>
      <c r="L134">
        <v>10</v>
      </c>
      <c r="M134">
        <v>858.28</v>
      </c>
      <c r="N134" t="s">
        <v>384</v>
      </c>
      <c r="O134" t="s">
        <v>603</v>
      </c>
      <c r="P134" t="s">
        <v>31</v>
      </c>
      <c r="Q134">
        <v>7.125</v>
      </c>
      <c r="R134">
        <v>4</v>
      </c>
      <c r="S134">
        <v>3</v>
      </c>
      <c r="T134">
        <v>6.333333333333333</v>
      </c>
    </row>
    <row r="135" spans="1:20" x14ac:dyDescent="0.3">
      <c r="A135" t="s">
        <v>604</v>
      </c>
      <c r="B135" t="s">
        <v>605</v>
      </c>
      <c r="C135" t="s">
        <v>111</v>
      </c>
      <c r="D135" t="s">
        <v>43</v>
      </c>
      <c r="E135" t="s">
        <v>44</v>
      </c>
      <c r="F135">
        <v>150</v>
      </c>
      <c r="G135" t="s">
        <v>606</v>
      </c>
      <c r="H135" t="s">
        <v>22</v>
      </c>
      <c r="I135" t="s">
        <v>607</v>
      </c>
      <c r="J135" t="s">
        <v>56</v>
      </c>
      <c r="K135" t="s">
        <v>29</v>
      </c>
      <c r="L135">
        <v>9</v>
      </c>
      <c r="M135">
        <v>80.36</v>
      </c>
      <c r="N135" t="s">
        <v>606</v>
      </c>
      <c r="P135" t="s">
        <v>40</v>
      </c>
      <c r="Q135">
        <v>18.100000000000001</v>
      </c>
      <c r="R135">
        <v>10.8</v>
      </c>
      <c r="S135">
        <v>3</v>
      </c>
      <c r="T135">
        <v>8.3333333333333339</v>
      </c>
    </row>
    <row r="136" spans="1:20" x14ac:dyDescent="0.3">
      <c r="A136" t="s">
        <v>608</v>
      </c>
      <c r="B136" t="s">
        <v>609</v>
      </c>
      <c r="C136" t="s">
        <v>67</v>
      </c>
      <c r="D136" t="s">
        <v>43</v>
      </c>
      <c r="E136" t="s">
        <v>78</v>
      </c>
      <c r="F136">
        <v>80</v>
      </c>
      <c r="G136" t="s">
        <v>610</v>
      </c>
      <c r="H136" t="s">
        <v>46</v>
      </c>
      <c r="I136" t="s">
        <v>611</v>
      </c>
      <c r="J136" t="s">
        <v>28</v>
      </c>
      <c r="K136" t="s">
        <v>29</v>
      </c>
      <c r="L136">
        <v>5</v>
      </c>
      <c r="M136">
        <v>262.68</v>
      </c>
      <c r="N136" t="s">
        <v>610</v>
      </c>
      <c r="O136" t="s">
        <v>260</v>
      </c>
      <c r="P136" t="s">
        <v>31</v>
      </c>
      <c r="Q136">
        <v>6.1428571428571432</v>
      </c>
      <c r="R136">
        <v>3.0952380952380949</v>
      </c>
      <c r="S136">
        <v>4</v>
      </c>
      <c r="T136">
        <v>4.75</v>
      </c>
    </row>
    <row r="137" spans="1:20" x14ac:dyDescent="0.3">
      <c r="A137" t="s">
        <v>608</v>
      </c>
      <c r="B137" t="s">
        <v>609</v>
      </c>
      <c r="C137" t="s">
        <v>67</v>
      </c>
      <c r="D137" t="s">
        <v>43</v>
      </c>
      <c r="E137" t="s">
        <v>78</v>
      </c>
      <c r="F137">
        <v>80</v>
      </c>
      <c r="G137" t="s">
        <v>610</v>
      </c>
      <c r="H137" t="s">
        <v>46</v>
      </c>
      <c r="I137" t="s">
        <v>612</v>
      </c>
      <c r="J137" t="s">
        <v>28</v>
      </c>
      <c r="K137" t="s">
        <v>29</v>
      </c>
      <c r="L137">
        <v>5</v>
      </c>
      <c r="M137">
        <v>262.68</v>
      </c>
      <c r="N137" t="s">
        <v>279</v>
      </c>
      <c r="P137" t="s">
        <v>495</v>
      </c>
      <c r="Q137">
        <v>6.1428571428571432</v>
      </c>
      <c r="R137">
        <v>3.0952380952380949</v>
      </c>
      <c r="S137">
        <v>4</v>
      </c>
      <c r="T137">
        <v>4.75</v>
      </c>
    </row>
    <row r="138" spans="1:20" x14ac:dyDescent="0.3">
      <c r="A138" t="s">
        <v>613</v>
      </c>
      <c r="B138" t="s">
        <v>614</v>
      </c>
      <c r="C138" t="s">
        <v>34</v>
      </c>
      <c r="D138" t="s">
        <v>138</v>
      </c>
      <c r="E138" t="s">
        <v>138</v>
      </c>
      <c r="F138">
        <v>35</v>
      </c>
      <c r="G138" t="s">
        <v>514</v>
      </c>
      <c r="H138" t="s">
        <v>46</v>
      </c>
      <c r="I138" t="s">
        <v>615</v>
      </c>
      <c r="J138" t="s">
        <v>56</v>
      </c>
      <c r="K138" t="s">
        <v>48</v>
      </c>
      <c r="L138">
        <v>8</v>
      </c>
      <c r="M138">
        <v>76.44</v>
      </c>
      <c r="N138" t="s">
        <v>514</v>
      </c>
      <c r="O138" t="s">
        <v>616</v>
      </c>
      <c r="P138" t="s">
        <v>31</v>
      </c>
      <c r="Q138">
        <v>2.8461538461538458</v>
      </c>
      <c r="R138">
        <v>1.0769230769230771</v>
      </c>
    </row>
    <row r="139" spans="1:20" x14ac:dyDescent="0.3">
      <c r="A139" t="s">
        <v>613</v>
      </c>
      <c r="B139" t="s">
        <v>614</v>
      </c>
      <c r="C139" t="s">
        <v>34</v>
      </c>
      <c r="D139" t="s">
        <v>138</v>
      </c>
      <c r="E139" t="s">
        <v>138</v>
      </c>
      <c r="F139">
        <v>35</v>
      </c>
      <c r="G139" t="s">
        <v>514</v>
      </c>
      <c r="H139" t="s">
        <v>46</v>
      </c>
      <c r="I139" t="s">
        <v>617</v>
      </c>
      <c r="J139" t="s">
        <v>63</v>
      </c>
      <c r="K139" t="s">
        <v>29</v>
      </c>
      <c r="L139">
        <v>6</v>
      </c>
      <c r="M139">
        <v>698.6</v>
      </c>
      <c r="N139" t="s">
        <v>618</v>
      </c>
      <c r="P139" t="s">
        <v>495</v>
      </c>
      <c r="Q139">
        <v>2.8461538461538458</v>
      </c>
      <c r="R139">
        <v>1.0769230769230771</v>
      </c>
    </row>
    <row r="140" spans="1:20" x14ac:dyDescent="0.3">
      <c r="A140" t="s">
        <v>619</v>
      </c>
      <c r="B140" t="s">
        <v>620</v>
      </c>
      <c r="C140" t="s">
        <v>51</v>
      </c>
      <c r="D140" t="s">
        <v>23</v>
      </c>
      <c r="E140" t="s">
        <v>87</v>
      </c>
      <c r="F140">
        <v>12</v>
      </c>
      <c r="G140" t="s">
        <v>361</v>
      </c>
      <c r="H140" t="s">
        <v>99</v>
      </c>
      <c r="I140" t="s">
        <v>621</v>
      </c>
      <c r="J140" t="s">
        <v>56</v>
      </c>
      <c r="K140" t="s">
        <v>29</v>
      </c>
      <c r="L140">
        <v>9</v>
      </c>
      <c r="M140">
        <v>80.36</v>
      </c>
      <c r="N140" t="s">
        <v>361</v>
      </c>
      <c r="P140" t="s">
        <v>40</v>
      </c>
      <c r="S140">
        <v>1</v>
      </c>
      <c r="T140">
        <v>8</v>
      </c>
    </row>
    <row r="141" spans="1:20" x14ac:dyDescent="0.3">
      <c r="A141" t="s">
        <v>622</v>
      </c>
      <c r="B141" t="s">
        <v>623</v>
      </c>
      <c r="C141" t="s">
        <v>97</v>
      </c>
      <c r="D141" t="s">
        <v>23</v>
      </c>
      <c r="E141" t="s">
        <v>73</v>
      </c>
      <c r="F141">
        <v>35</v>
      </c>
      <c r="G141" t="s">
        <v>506</v>
      </c>
      <c r="H141" t="s">
        <v>38</v>
      </c>
      <c r="I141" t="s">
        <v>624</v>
      </c>
      <c r="J141" t="s">
        <v>56</v>
      </c>
      <c r="K141" t="s">
        <v>29</v>
      </c>
      <c r="L141">
        <v>3</v>
      </c>
      <c r="M141">
        <v>56.84</v>
      </c>
      <c r="N141" t="s">
        <v>506</v>
      </c>
      <c r="P141" t="s">
        <v>40</v>
      </c>
      <c r="Q141">
        <v>18.875</v>
      </c>
      <c r="R141">
        <v>9.6666666666666661</v>
      </c>
      <c r="S141">
        <v>6</v>
      </c>
      <c r="T141">
        <v>5.666666666666667</v>
      </c>
    </row>
    <row r="142" spans="1:20" x14ac:dyDescent="0.3">
      <c r="A142" t="s">
        <v>625</v>
      </c>
      <c r="B142" t="s">
        <v>626</v>
      </c>
      <c r="C142" t="s">
        <v>82</v>
      </c>
      <c r="D142" t="s">
        <v>23</v>
      </c>
      <c r="E142" t="s">
        <v>24</v>
      </c>
      <c r="F142">
        <v>35</v>
      </c>
      <c r="G142" t="s">
        <v>627</v>
      </c>
      <c r="H142" t="s">
        <v>46</v>
      </c>
      <c r="I142" t="s">
        <v>628</v>
      </c>
      <c r="J142" t="s">
        <v>28</v>
      </c>
      <c r="K142" t="s">
        <v>29</v>
      </c>
      <c r="L142">
        <v>4</v>
      </c>
      <c r="M142">
        <v>246.76</v>
      </c>
      <c r="N142" t="s">
        <v>627</v>
      </c>
      <c r="P142" t="s">
        <v>40</v>
      </c>
      <c r="Q142">
        <v>11.357142857142859</v>
      </c>
      <c r="R142">
        <v>6.7857142857142856</v>
      </c>
      <c r="S142">
        <v>3</v>
      </c>
      <c r="T142">
        <v>4.666666666666667</v>
      </c>
    </row>
    <row r="143" spans="1:20" x14ac:dyDescent="0.3">
      <c r="A143" t="s">
        <v>629</v>
      </c>
      <c r="B143" t="s">
        <v>630</v>
      </c>
      <c r="C143" t="s">
        <v>111</v>
      </c>
      <c r="D143" t="s">
        <v>43</v>
      </c>
      <c r="E143" t="s">
        <v>44</v>
      </c>
      <c r="F143">
        <v>35</v>
      </c>
      <c r="G143" t="s">
        <v>631</v>
      </c>
      <c r="H143" t="s">
        <v>26</v>
      </c>
      <c r="I143" t="s">
        <v>632</v>
      </c>
      <c r="J143" t="s">
        <v>28</v>
      </c>
      <c r="K143" t="s">
        <v>29</v>
      </c>
      <c r="L143">
        <v>7</v>
      </c>
      <c r="M143">
        <v>294.52</v>
      </c>
      <c r="N143" t="s">
        <v>631</v>
      </c>
      <c r="P143" t="s">
        <v>40</v>
      </c>
      <c r="Q143">
        <v>5.2222222222222223</v>
      </c>
      <c r="R143">
        <v>2.7777777777777781</v>
      </c>
    </row>
    <row r="144" spans="1:20" x14ac:dyDescent="0.3">
      <c r="A144" t="s">
        <v>633</v>
      </c>
      <c r="B144" t="s">
        <v>634</v>
      </c>
      <c r="C144" t="s">
        <v>34</v>
      </c>
      <c r="D144" t="s">
        <v>23</v>
      </c>
      <c r="E144" t="s">
        <v>87</v>
      </c>
      <c r="F144">
        <v>80</v>
      </c>
      <c r="G144" t="s">
        <v>635</v>
      </c>
      <c r="H144" t="s">
        <v>54</v>
      </c>
      <c r="I144" t="s">
        <v>636</v>
      </c>
      <c r="J144" t="s">
        <v>28</v>
      </c>
      <c r="K144" t="s">
        <v>48</v>
      </c>
      <c r="L144">
        <v>10</v>
      </c>
      <c r="M144">
        <v>342.28</v>
      </c>
      <c r="N144" t="s">
        <v>635</v>
      </c>
      <c r="O144" t="s">
        <v>637</v>
      </c>
      <c r="P144" t="s">
        <v>31</v>
      </c>
      <c r="Q144">
        <v>13.75</v>
      </c>
      <c r="R144">
        <v>7.75</v>
      </c>
      <c r="S144">
        <v>6</v>
      </c>
      <c r="T144">
        <v>5.5</v>
      </c>
    </row>
    <row r="145" spans="1:20" x14ac:dyDescent="0.3">
      <c r="A145" t="s">
        <v>638</v>
      </c>
      <c r="B145" t="s">
        <v>639</v>
      </c>
      <c r="C145" t="s">
        <v>51</v>
      </c>
      <c r="D145" t="s">
        <v>23</v>
      </c>
      <c r="E145" t="s">
        <v>160</v>
      </c>
      <c r="F145">
        <v>35</v>
      </c>
      <c r="G145" t="s">
        <v>640</v>
      </c>
      <c r="H145" t="s">
        <v>61</v>
      </c>
      <c r="I145" t="s">
        <v>641</v>
      </c>
      <c r="J145" t="s">
        <v>56</v>
      </c>
      <c r="K145" t="s">
        <v>29</v>
      </c>
      <c r="L145">
        <v>10</v>
      </c>
      <c r="M145">
        <v>84.28</v>
      </c>
      <c r="N145" t="s">
        <v>640</v>
      </c>
      <c r="P145" t="s">
        <v>40</v>
      </c>
      <c r="Q145">
        <v>16.666666666666671</v>
      </c>
      <c r="R145">
        <v>8.3333333333333339</v>
      </c>
      <c r="S145">
        <v>5</v>
      </c>
      <c r="T145">
        <v>5</v>
      </c>
    </row>
    <row r="146" spans="1:20" x14ac:dyDescent="0.3">
      <c r="A146" t="s">
        <v>642</v>
      </c>
      <c r="B146" t="s">
        <v>643</v>
      </c>
      <c r="C146" t="s">
        <v>59</v>
      </c>
      <c r="D146" t="s">
        <v>23</v>
      </c>
      <c r="E146" t="s">
        <v>73</v>
      </c>
      <c r="F146">
        <v>12</v>
      </c>
      <c r="G146" t="s">
        <v>644</v>
      </c>
      <c r="H146" t="s">
        <v>38</v>
      </c>
      <c r="I146" t="s">
        <v>645</v>
      </c>
      <c r="J146" t="s">
        <v>56</v>
      </c>
      <c r="K146" t="s">
        <v>48</v>
      </c>
      <c r="L146">
        <v>6</v>
      </c>
      <c r="M146">
        <v>68.599999999999994</v>
      </c>
      <c r="N146" t="s">
        <v>644</v>
      </c>
      <c r="P146" t="s">
        <v>40</v>
      </c>
      <c r="Q146">
        <v>11.72222222222222</v>
      </c>
      <c r="R146">
        <v>6</v>
      </c>
      <c r="S146">
        <v>4</v>
      </c>
      <c r="T146">
        <v>5.25</v>
      </c>
    </row>
    <row r="147" spans="1:20" x14ac:dyDescent="0.3">
      <c r="A147" t="s">
        <v>646</v>
      </c>
      <c r="B147" t="s">
        <v>647</v>
      </c>
      <c r="C147" t="s">
        <v>51</v>
      </c>
      <c r="D147" t="s">
        <v>23</v>
      </c>
      <c r="E147" t="s">
        <v>112</v>
      </c>
      <c r="F147">
        <v>12</v>
      </c>
      <c r="G147" t="s">
        <v>648</v>
      </c>
      <c r="H147" t="s">
        <v>26</v>
      </c>
      <c r="I147" t="s">
        <v>649</v>
      </c>
      <c r="J147" t="s">
        <v>28</v>
      </c>
      <c r="K147" t="s">
        <v>29</v>
      </c>
      <c r="L147">
        <v>6</v>
      </c>
      <c r="M147">
        <v>278.60000000000002</v>
      </c>
      <c r="N147" t="s">
        <v>648</v>
      </c>
      <c r="O147" t="s">
        <v>650</v>
      </c>
      <c r="P147" t="s">
        <v>31</v>
      </c>
      <c r="Q147">
        <v>9</v>
      </c>
      <c r="R147">
        <v>3.75</v>
      </c>
      <c r="S147">
        <v>7</v>
      </c>
      <c r="T147">
        <v>5.2857142857142856</v>
      </c>
    </row>
    <row r="148" spans="1:20" x14ac:dyDescent="0.3">
      <c r="A148" t="s">
        <v>651</v>
      </c>
      <c r="B148" t="s">
        <v>652</v>
      </c>
      <c r="C148" t="s">
        <v>34</v>
      </c>
      <c r="D148" t="s">
        <v>127</v>
      </c>
      <c r="E148" t="s">
        <v>245</v>
      </c>
      <c r="F148">
        <v>400</v>
      </c>
      <c r="G148" t="s">
        <v>653</v>
      </c>
      <c r="H148" t="s">
        <v>46</v>
      </c>
      <c r="I148" t="s">
        <v>654</v>
      </c>
      <c r="J148" t="s">
        <v>28</v>
      </c>
      <c r="K148" t="s">
        <v>48</v>
      </c>
      <c r="L148">
        <v>6</v>
      </c>
      <c r="M148">
        <v>278.60000000000002</v>
      </c>
      <c r="N148" t="s">
        <v>653</v>
      </c>
      <c r="P148" t="s">
        <v>40</v>
      </c>
      <c r="Q148">
        <v>5.9130434782608692</v>
      </c>
      <c r="R148">
        <v>3.0869565217391299</v>
      </c>
      <c r="S148">
        <v>4</v>
      </c>
      <c r="T148">
        <v>4</v>
      </c>
    </row>
    <row r="149" spans="1:20" x14ac:dyDescent="0.3">
      <c r="A149" t="s">
        <v>655</v>
      </c>
      <c r="B149" t="s">
        <v>656</v>
      </c>
      <c r="C149" t="s">
        <v>82</v>
      </c>
      <c r="D149" t="s">
        <v>127</v>
      </c>
      <c r="E149" t="s">
        <v>245</v>
      </c>
      <c r="F149">
        <v>400</v>
      </c>
      <c r="G149" t="s">
        <v>657</v>
      </c>
      <c r="H149" t="s">
        <v>54</v>
      </c>
      <c r="I149" t="s">
        <v>658</v>
      </c>
      <c r="J149" t="s">
        <v>28</v>
      </c>
      <c r="K149" t="s">
        <v>29</v>
      </c>
      <c r="L149">
        <v>9</v>
      </c>
      <c r="M149">
        <v>326.36</v>
      </c>
      <c r="N149" t="s">
        <v>657</v>
      </c>
      <c r="P149" t="s">
        <v>40</v>
      </c>
      <c r="Q149">
        <v>12.27272727272727</v>
      </c>
      <c r="R149">
        <v>6.8636363636363633</v>
      </c>
      <c r="S149">
        <v>4</v>
      </c>
      <c r="T149">
        <v>6.75</v>
      </c>
    </row>
    <row r="150" spans="1:20" x14ac:dyDescent="0.3">
      <c r="A150" t="s">
        <v>659</v>
      </c>
      <c r="B150" t="s">
        <v>660</v>
      </c>
      <c r="C150" t="s">
        <v>51</v>
      </c>
      <c r="D150" t="s">
        <v>138</v>
      </c>
      <c r="E150" t="s">
        <v>138</v>
      </c>
      <c r="F150">
        <v>35</v>
      </c>
      <c r="G150" t="s">
        <v>661</v>
      </c>
      <c r="H150" t="s">
        <v>22</v>
      </c>
      <c r="I150" t="s">
        <v>662</v>
      </c>
      <c r="J150" t="s">
        <v>56</v>
      </c>
      <c r="K150" t="s">
        <v>29</v>
      </c>
      <c r="L150">
        <v>11</v>
      </c>
      <c r="M150">
        <v>88.2</v>
      </c>
      <c r="N150" t="s">
        <v>661</v>
      </c>
      <c r="O150" t="s">
        <v>663</v>
      </c>
      <c r="P150" t="s">
        <v>31</v>
      </c>
      <c r="Q150">
        <v>6.125</v>
      </c>
      <c r="R150">
        <v>3.25</v>
      </c>
      <c r="S150">
        <v>4</v>
      </c>
      <c r="T150">
        <v>4.5</v>
      </c>
    </row>
    <row r="151" spans="1:20" x14ac:dyDescent="0.3">
      <c r="A151" t="s">
        <v>664</v>
      </c>
      <c r="B151" t="s">
        <v>665</v>
      </c>
      <c r="C151" t="s">
        <v>111</v>
      </c>
      <c r="D151" t="s">
        <v>35</v>
      </c>
      <c r="E151" t="s">
        <v>36</v>
      </c>
      <c r="F151">
        <v>80</v>
      </c>
      <c r="G151" t="s">
        <v>118</v>
      </c>
      <c r="H151" t="s">
        <v>38</v>
      </c>
      <c r="I151" t="s">
        <v>666</v>
      </c>
      <c r="J151" t="s">
        <v>70</v>
      </c>
      <c r="K151" t="s">
        <v>48</v>
      </c>
      <c r="L151">
        <v>11</v>
      </c>
      <c r="M151">
        <v>2698.2</v>
      </c>
      <c r="N151" t="s">
        <v>118</v>
      </c>
      <c r="P151" t="s">
        <v>40</v>
      </c>
      <c r="Q151">
        <v>18</v>
      </c>
      <c r="R151">
        <v>10.91666666666667</v>
      </c>
      <c r="S151">
        <v>3</v>
      </c>
      <c r="T151">
        <v>5</v>
      </c>
    </row>
    <row r="152" spans="1:20" x14ac:dyDescent="0.3">
      <c r="A152" t="s">
        <v>667</v>
      </c>
      <c r="B152" t="s">
        <v>668</v>
      </c>
      <c r="C152" t="s">
        <v>59</v>
      </c>
      <c r="D152" t="s">
        <v>23</v>
      </c>
      <c r="E152" t="s">
        <v>24</v>
      </c>
      <c r="F152">
        <v>35</v>
      </c>
      <c r="G152" t="s">
        <v>669</v>
      </c>
      <c r="H152" t="s">
        <v>61</v>
      </c>
      <c r="I152" t="s">
        <v>670</v>
      </c>
      <c r="J152" t="s">
        <v>56</v>
      </c>
      <c r="K152" t="s">
        <v>48</v>
      </c>
      <c r="L152">
        <v>6</v>
      </c>
      <c r="M152">
        <v>68.599999999999994</v>
      </c>
      <c r="N152" t="s">
        <v>669</v>
      </c>
      <c r="P152" t="s">
        <v>40</v>
      </c>
      <c r="Q152">
        <v>14.22727272727273</v>
      </c>
      <c r="R152">
        <v>7.6818181818181817</v>
      </c>
      <c r="S152">
        <v>5</v>
      </c>
      <c r="T152">
        <v>5</v>
      </c>
    </row>
    <row r="153" spans="1:20" x14ac:dyDescent="0.3">
      <c r="A153" t="s">
        <v>671</v>
      </c>
      <c r="B153" t="s">
        <v>672</v>
      </c>
      <c r="C153" t="s">
        <v>97</v>
      </c>
      <c r="D153" t="s">
        <v>23</v>
      </c>
      <c r="E153" t="s">
        <v>87</v>
      </c>
      <c r="F153">
        <v>150</v>
      </c>
      <c r="G153" t="s">
        <v>673</v>
      </c>
      <c r="H153" t="s">
        <v>38</v>
      </c>
      <c r="I153" t="s">
        <v>674</v>
      </c>
      <c r="J153" t="s">
        <v>28</v>
      </c>
      <c r="K153" t="s">
        <v>29</v>
      </c>
      <c r="L153">
        <v>7</v>
      </c>
      <c r="M153">
        <v>294.52</v>
      </c>
      <c r="N153" t="s">
        <v>673</v>
      </c>
      <c r="P153" t="s">
        <v>40</v>
      </c>
      <c r="Q153">
        <v>5.5</v>
      </c>
      <c r="R153">
        <v>2.833333333333333</v>
      </c>
      <c r="S153">
        <v>2</v>
      </c>
      <c r="T153">
        <v>3.5</v>
      </c>
    </row>
    <row r="154" spans="1:20" x14ac:dyDescent="0.3">
      <c r="A154" t="s">
        <v>675</v>
      </c>
      <c r="B154" t="s">
        <v>676</v>
      </c>
      <c r="C154" t="s">
        <v>67</v>
      </c>
      <c r="D154" t="s">
        <v>23</v>
      </c>
      <c r="E154" t="s">
        <v>160</v>
      </c>
      <c r="F154">
        <v>80</v>
      </c>
      <c r="G154" t="s">
        <v>677</v>
      </c>
      <c r="H154" t="s">
        <v>46</v>
      </c>
      <c r="I154" t="s">
        <v>678</v>
      </c>
      <c r="J154" t="s">
        <v>28</v>
      </c>
      <c r="K154" t="s">
        <v>29</v>
      </c>
      <c r="L154">
        <v>5</v>
      </c>
      <c r="M154">
        <v>262.68</v>
      </c>
      <c r="N154" t="s">
        <v>677</v>
      </c>
      <c r="P154" t="s">
        <v>40</v>
      </c>
      <c r="Q154">
        <v>12.357142857142859</v>
      </c>
      <c r="R154">
        <v>6.0714285714285712</v>
      </c>
      <c r="S154">
        <v>2</v>
      </c>
      <c r="T154">
        <v>4.5</v>
      </c>
    </row>
    <row r="155" spans="1:20" x14ac:dyDescent="0.3">
      <c r="A155" t="s">
        <v>679</v>
      </c>
      <c r="B155" t="s">
        <v>680</v>
      </c>
      <c r="C155" t="s">
        <v>82</v>
      </c>
      <c r="D155" t="s">
        <v>23</v>
      </c>
      <c r="E155" t="s">
        <v>112</v>
      </c>
      <c r="F155">
        <v>80</v>
      </c>
      <c r="G155" t="s">
        <v>681</v>
      </c>
      <c r="H155" t="s">
        <v>22</v>
      </c>
      <c r="I155" t="s">
        <v>682</v>
      </c>
      <c r="J155" t="s">
        <v>63</v>
      </c>
      <c r="K155" t="s">
        <v>48</v>
      </c>
      <c r="L155">
        <v>8</v>
      </c>
      <c r="M155">
        <v>778.44</v>
      </c>
      <c r="N155" t="s">
        <v>681</v>
      </c>
      <c r="P155" t="s">
        <v>40</v>
      </c>
      <c r="Q155">
        <v>4.5</v>
      </c>
      <c r="R155">
        <v>1.75</v>
      </c>
      <c r="S155">
        <v>1</v>
      </c>
      <c r="T155">
        <v>3</v>
      </c>
    </row>
    <row r="156" spans="1:20" x14ac:dyDescent="0.3">
      <c r="A156" t="s">
        <v>683</v>
      </c>
      <c r="B156" t="s">
        <v>684</v>
      </c>
      <c r="C156" t="s">
        <v>59</v>
      </c>
      <c r="D156" t="s">
        <v>35</v>
      </c>
      <c r="E156" t="s">
        <v>36</v>
      </c>
      <c r="F156">
        <v>35</v>
      </c>
      <c r="G156" t="s">
        <v>685</v>
      </c>
      <c r="H156" t="s">
        <v>26</v>
      </c>
      <c r="I156" t="s">
        <v>686</v>
      </c>
      <c r="J156" t="s">
        <v>70</v>
      </c>
      <c r="K156" t="s">
        <v>29</v>
      </c>
      <c r="L156">
        <v>5</v>
      </c>
      <c r="M156">
        <v>1978.68</v>
      </c>
      <c r="N156" t="s">
        <v>685</v>
      </c>
      <c r="P156" t="s">
        <v>40</v>
      </c>
      <c r="Q156">
        <v>3.3809523809523809</v>
      </c>
      <c r="R156">
        <v>1.857142857142857</v>
      </c>
      <c r="S156">
        <v>5</v>
      </c>
      <c r="T156">
        <v>5</v>
      </c>
    </row>
    <row r="157" spans="1:20" x14ac:dyDescent="0.3">
      <c r="A157" t="s">
        <v>687</v>
      </c>
      <c r="B157" t="s">
        <v>151</v>
      </c>
      <c r="C157" t="s">
        <v>82</v>
      </c>
      <c r="D157" t="s">
        <v>23</v>
      </c>
      <c r="E157" t="s">
        <v>24</v>
      </c>
      <c r="F157">
        <v>35</v>
      </c>
      <c r="G157" t="s">
        <v>248</v>
      </c>
      <c r="H157" t="s">
        <v>61</v>
      </c>
      <c r="I157" t="s">
        <v>688</v>
      </c>
      <c r="J157" t="s">
        <v>63</v>
      </c>
      <c r="K157" t="s">
        <v>29</v>
      </c>
      <c r="L157">
        <v>3</v>
      </c>
      <c r="M157">
        <v>578.84</v>
      </c>
      <c r="N157" t="s">
        <v>248</v>
      </c>
      <c r="O157" t="s">
        <v>689</v>
      </c>
      <c r="P157" t="s">
        <v>31</v>
      </c>
      <c r="S157">
        <v>3</v>
      </c>
      <c r="T157">
        <v>5</v>
      </c>
    </row>
    <row r="158" spans="1:20" x14ac:dyDescent="0.3">
      <c r="A158" t="s">
        <v>690</v>
      </c>
      <c r="B158" t="s">
        <v>691</v>
      </c>
      <c r="C158" t="s">
        <v>67</v>
      </c>
      <c r="D158" t="s">
        <v>23</v>
      </c>
      <c r="E158" t="s">
        <v>112</v>
      </c>
      <c r="F158">
        <v>12</v>
      </c>
      <c r="G158" t="s">
        <v>692</v>
      </c>
      <c r="H158" t="s">
        <v>26</v>
      </c>
      <c r="I158" t="s">
        <v>693</v>
      </c>
      <c r="J158" t="s">
        <v>63</v>
      </c>
      <c r="K158" t="s">
        <v>29</v>
      </c>
      <c r="L158">
        <v>8</v>
      </c>
      <c r="M158">
        <v>778.44</v>
      </c>
      <c r="N158" t="s">
        <v>692</v>
      </c>
      <c r="O158" t="s">
        <v>694</v>
      </c>
      <c r="P158" t="s">
        <v>31</v>
      </c>
      <c r="Q158">
        <v>7.7647058823529411</v>
      </c>
      <c r="R158">
        <v>4.5294117647058822</v>
      </c>
      <c r="S158">
        <v>1</v>
      </c>
      <c r="T158">
        <v>2</v>
      </c>
    </row>
    <row r="159" spans="1:20" x14ac:dyDescent="0.3">
      <c r="A159" t="s">
        <v>695</v>
      </c>
      <c r="B159" t="s">
        <v>696</v>
      </c>
      <c r="C159" t="s">
        <v>34</v>
      </c>
      <c r="D159" t="s">
        <v>127</v>
      </c>
      <c r="E159" t="s">
        <v>245</v>
      </c>
      <c r="F159">
        <v>80</v>
      </c>
      <c r="G159" t="s">
        <v>697</v>
      </c>
      <c r="H159" t="s">
        <v>46</v>
      </c>
      <c r="I159" t="s">
        <v>698</v>
      </c>
      <c r="J159" t="s">
        <v>28</v>
      </c>
      <c r="K159" t="s">
        <v>48</v>
      </c>
      <c r="L159">
        <v>7</v>
      </c>
      <c r="M159">
        <v>294.52</v>
      </c>
      <c r="N159" t="s">
        <v>697</v>
      </c>
      <c r="O159" t="s">
        <v>699</v>
      </c>
      <c r="P159" t="s">
        <v>31</v>
      </c>
      <c r="Q159">
        <v>3.8</v>
      </c>
      <c r="R159">
        <v>1.4</v>
      </c>
      <c r="S159">
        <v>5</v>
      </c>
      <c r="T159">
        <v>5.2</v>
      </c>
    </row>
    <row r="160" spans="1:20" x14ac:dyDescent="0.3">
      <c r="A160" t="s">
        <v>700</v>
      </c>
      <c r="B160" t="s">
        <v>701</v>
      </c>
      <c r="C160" t="s">
        <v>111</v>
      </c>
      <c r="D160" t="s">
        <v>23</v>
      </c>
      <c r="E160" t="s">
        <v>87</v>
      </c>
      <c r="F160">
        <v>80</v>
      </c>
      <c r="G160" t="s">
        <v>702</v>
      </c>
      <c r="H160" t="s">
        <v>26</v>
      </c>
      <c r="I160" t="s">
        <v>703</v>
      </c>
      <c r="J160" t="s">
        <v>63</v>
      </c>
      <c r="K160" t="s">
        <v>48</v>
      </c>
      <c r="L160">
        <v>4</v>
      </c>
      <c r="M160">
        <v>618.76</v>
      </c>
      <c r="N160" t="s">
        <v>702</v>
      </c>
      <c r="P160" t="s">
        <v>40</v>
      </c>
      <c r="Q160">
        <v>6</v>
      </c>
      <c r="R160">
        <v>2.2000000000000002</v>
      </c>
      <c r="S160">
        <v>1</v>
      </c>
      <c r="T160">
        <v>8</v>
      </c>
    </row>
    <row r="161" spans="1:20" x14ac:dyDescent="0.3">
      <c r="A161" t="s">
        <v>704</v>
      </c>
      <c r="B161" t="s">
        <v>705</v>
      </c>
      <c r="C161" t="s">
        <v>22</v>
      </c>
      <c r="D161" t="s">
        <v>23</v>
      </c>
      <c r="E161" t="s">
        <v>87</v>
      </c>
      <c r="F161">
        <v>80</v>
      </c>
      <c r="G161" t="s">
        <v>706</v>
      </c>
      <c r="H161" t="s">
        <v>46</v>
      </c>
      <c r="I161" t="s">
        <v>707</v>
      </c>
      <c r="J161" t="s">
        <v>56</v>
      </c>
      <c r="K161" t="s">
        <v>29</v>
      </c>
      <c r="L161">
        <v>5</v>
      </c>
      <c r="M161">
        <v>64.680000000000007</v>
      </c>
      <c r="N161" t="s">
        <v>706</v>
      </c>
      <c r="O161" t="s">
        <v>708</v>
      </c>
      <c r="P161" t="s">
        <v>31</v>
      </c>
      <c r="Q161">
        <v>2.666666666666667</v>
      </c>
      <c r="R161">
        <v>1.333333333333333</v>
      </c>
      <c r="S161">
        <v>1</v>
      </c>
      <c r="T161">
        <v>6</v>
      </c>
    </row>
    <row r="162" spans="1:20" x14ac:dyDescent="0.3">
      <c r="A162" t="s">
        <v>704</v>
      </c>
      <c r="B162" t="s">
        <v>705</v>
      </c>
      <c r="C162" t="s">
        <v>22</v>
      </c>
      <c r="D162" t="s">
        <v>23</v>
      </c>
      <c r="E162" t="s">
        <v>87</v>
      </c>
      <c r="F162">
        <v>80</v>
      </c>
      <c r="G162" t="s">
        <v>706</v>
      </c>
      <c r="H162" t="s">
        <v>46</v>
      </c>
      <c r="I162" t="s">
        <v>709</v>
      </c>
      <c r="J162" t="s">
        <v>63</v>
      </c>
      <c r="K162" t="s">
        <v>48</v>
      </c>
      <c r="L162">
        <v>5</v>
      </c>
      <c r="M162">
        <v>658.68</v>
      </c>
      <c r="N162" t="s">
        <v>710</v>
      </c>
      <c r="O162" t="s">
        <v>711</v>
      </c>
      <c r="P162" t="s">
        <v>31</v>
      </c>
      <c r="Q162">
        <v>2.666666666666667</v>
      </c>
      <c r="R162">
        <v>1.333333333333333</v>
      </c>
      <c r="S162">
        <v>1</v>
      </c>
      <c r="T162">
        <v>6</v>
      </c>
    </row>
    <row r="163" spans="1:20" x14ac:dyDescent="0.3">
      <c r="A163" t="s">
        <v>712</v>
      </c>
      <c r="B163" t="s">
        <v>713</v>
      </c>
      <c r="C163" t="s">
        <v>67</v>
      </c>
      <c r="D163" t="s">
        <v>23</v>
      </c>
      <c r="E163" t="s">
        <v>160</v>
      </c>
      <c r="F163">
        <v>12</v>
      </c>
      <c r="G163" t="s">
        <v>714</v>
      </c>
      <c r="H163" t="s">
        <v>38</v>
      </c>
      <c r="I163" t="s">
        <v>715</v>
      </c>
      <c r="J163" t="s">
        <v>70</v>
      </c>
      <c r="K163" t="s">
        <v>29</v>
      </c>
      <c r="L163">
        <v>6</v>
      </c>
      <c r="M163">
        <v>2098.6</v>
      </c>
      <c r="N163" t="s">
        <v>714</v>
      </c>
      <c r="P163" t="s">
        <v>40</v>
      </c>
      <c r="Q163">
        <v>6.0625</v>
      </c>
      <c r="R163">
        <v>2.875</v>
      </c>
      <c r="S163">
        <v>3</v>
      </c>
      <c r="T163">
        <v>6.666666666666667</v>
      </c>
    </row>
    <row r="164" spans="1:20" x14ac:dyDescent="0.3">
      <c r="A164" t="s">
        <v>716</v>
      </c>
      <c r="B164" t="s">
        <v>717</v>
      </c>
      <c r="C164" t="s">
        <v>51</v>
      </c>
      <c r="D164" t="s">
        <v>23</v>
      </c>
      <c r="E164" t="s">
        <v>112</v>
      </c>
      <c r="F164">
        <v>80</v>
      </c>
      <c r="G164" t="s">
        <v>595</v>
      </c>
      <c r="H164" t="s">
        <v>46</v>
      </c>
      <c r="I164" t="s">
        <v>718</v>
      </c>
      <c r="J164" t="s">
        <v>70</v>
      </c>
      <c r="K164" t="s">
        <v>29</v>
      </c>
      <c r="L164">
        <v>7</v>
      </c>
      <c r="M164">
        <v>2218.52</v>
      </c>
      <c r="N164" t="s">
        <v>595</v>
      </c>
      <c r="P164" t="s">
        <v>40</v>
      </c>
      <c r="Q164">
        <v>8.5</v>
      </c>
      <c r="R164">
        <v>4.5999999999999996</v>
      </c>
      <c r="S164">
        <v>2</v>
      </c>
      <c r="T164">
        <v>6.5</v>
      </c>
    </row>
    <row r="165" spans="1:20" x14ac:dyDescent="0.3">
      <c r="A165" t="s">
        <v>719</v>
      </c>
      <c r="B165" t="s">
        <v>720</v>
      </c>
      <c r="C165" t="s">
        <v>59</v>
      </c>
      <c r="D165" t="s">
        <v>138</v>
      </c>
      <c r="E165" t="s">
        <v>138</v>
      </c>
      <c r="F165">
        <v>150</v>
      </c>
      <c r="G165" t="s">
        <v>721</v>
      </c>
      <c r="H165" t="s">
        <v>26</v>
      </c>
      <c r="I165" t="s">
        <v>722</v>
      </c>
      <c r="J165" t="s">
        <v>28</v>
      </c>
      <c r="K165" t="s">
        <v>48</v>
      </c>
      <c r="L165">
        <v>3</v>
      </c>
      <c r="M165">
        <v>230.84</v>
      </c>
      <c r="N165" t="s">
        <v>721</v>
      </c>
      <c r="P165" t="s">
        <v>40</v>
      </c>
      <c r="Q165">
        <v>6.9090909090909092</v>
      </c>
      <c r="R165">
        <v>3.545454545454545</v>
      </c>
      <c r="S165">
        <v>6</v>
      </c>
      <c r="T165">
        <v>5.166666666666667</v>
      </c>
    </row>
    <row r="166" spans="1:20" x14ac:dyDescent="0.3">
      <c r="A166" t="s">
        <v>723</v>
      </c>
      <c r="B166" t="s">
        <v>724</v>
      </c>
      <c r="C166" t="s">
        <v>82</v>
      </c>
      <c r="D166" t="s">
        <v>23</v>
      </c>
      <c r="E166" t="s">
        <v>117</v>
      </c>
      <c r="F166">
        <v>3000</v>
      </c>
      <c r="G166" t="s">
        <v>725</v>
      </c>
      <c r="H166" t="s">
        <v>46</v>
      </c>
      <c r="I166" t="s">
        <v>726</v>
      </c>
      <c r="J166" t="s">
        <v>56</v>
      </c>
      <c r="K166" t="s">
        <v>29</v>
      </c>
      <c r="L166">
        <v>10</v>
      </c>
      <c r="M166">
        <v>84.28</v>
      </c>
      <c r="N166" t="s">
        <v>725</v>
      </c>
      <c r="P166" t="s">
        <v>40</v>
      </c>
      <c r="Q166">
        <v>9.1363636363636367</v>
      </c>
      <c r="R166">
        <v>4.4090909090909092</v>
      </c>
      <c r="S166">
        <v>3</v>
      </c>
      <c r="T166">
        <v>5.666666666666667</v>
      </c>
    </row>
    <row r="167" spans="1:20" x14ac:dyDescent="0.3">
      <c r="A167" t="s">
        <v>727</v>
      </c>
      <c r="B167" t="s">
        <v>728</v>
      </c>
      <c r="C167" t="s">
        <v>82</v>
      </c>
      <c r="D167" t="s">
        <v>35</v>
      </c>
      <c r="E167" t="s">
        <v>36</v>
      </c>
      <c r="F167">
        <v>400</v>
      </c>
      <c r="G167" t="s">
        <v>729</v>
      </c>
      <c r="H167" t="s">
        <v>46</v>
      </c>
      <c r="I167" t="s">
        <v>730</v>
      </c>
      <c r="J167" t="s">
        <v>56</v>
      </c>
      <c r="K167" t="s">
        <v>29</v>
      </c>
      <c r="L167">
        <v>9</v>
      </c>
      <c r="M167">
        <v>80.36</v>
      </c>
      <c r="N167" t="s">
        <v>729</v>
      </c>
      <c r="P167" t="s">
        <v>40</v>
      </c>
      <c r="Q167">
        <v>12.5</v>
      </c>
      <c r="R167">
        <v>6.5</v>
      </c>
      <c r="S167">
        <v>6</v>
      </c>
      <c r="T167">
        <v>5.333333333333333</v>
      </c>
    </row>
    <row r="168" spans="1:20" x14ac:dyDescent="0.3">
      <c r="A168" t="s">
        <v>731</v>
      </c>
      <c r="B168" t="s">
        <v>569</v>
      </c>
      <c r="C168" t="s">
        <v>82</v>
      </c>
      <c r="D168" t="s">
        <v>127</v>
      </c>
      <c r="E168" t="s">
        <v>133</v>
      </c>
      <c r="F168">
        <v>1200</v>
      </c>
      <c r="G168" t="s">
        <v>732</v>
      </c>
      <c r="H168" t="s">
        <v>46</v>
      </c>
      <c r="I168" t="s">
        <v>733</v>
      </c>
      <c r="J168" t="s">
        <v>56</v>
      </c>
      <c r="K168" t="s">
        <v>29</v>
      </c>
      <c r="L168">
        <v>6</v>
      </c>
      <c r="M168">
        <v>68.599999999999994</v>
      </c>
      <c r="N168" t="s">
        <v>732</v>
      </c>
      <c r="P168" t="s">
        <v>40</v>
      </c>
      <c r="Q168">
        <v>10</v>
      </c>
      <c r="R168">
        <v>4</v>
      </c>
      <c r="S168">
        <v>4</v>
      </c>
      <c r="T168">
        <v>5</v>
      </c>
    </row>
    <row r="169" spans="1:20" x14ac:dyDescent="0.3">
      <c r="A169" t="s">
        <v>734</v>
      </c>
      <c r="B169" t="s">
        <v>735</v>
      </c>
      <c r="C169" t="s">
        <v>97</v>
      </c>
      <c r="D169" t="s">
        <v>43</v>
      </c>
      <c r="E169" t="s">
        <v>44</v>
      </c>
      <c r="F169">
        <v>150</v>
      </c>
      <c r="G169" t="s">
        <v>736</v>
      </c>
      <c r="H169" t="s">
        <v>26</v>
      </c>
      <c r="I169" t="s">
        <v>737</v>
      </c>
      <c r="J169" t="s">
        <v>28</v>
      </c>
      <c r="K169" t="s">
        <v>29</v>
      </c>
      <c r="L169">
        <v>4</v>
      </c>
      <c r="M169">
        <v>246.76</v>
      </c>
      <c r="N169" t="s">
        <v>736</v>
      </c>
      <c r="P169" t="s">
        <v>40</v>
      </c>
      <c r="Q169">
        <v>2.75</v>
      </c>
      <c r="R169">
        <v>1.125</v>
      </c>
      <c r="S169">
        <v>3</v>
      </c>
      <c r="T169">
        <v>4</v>
      </c>
    </row>
    <row r="170" spans="1:20" x14ac:dyDescent="0.3">
      <c r="A170" t="s">
        <v>738</v>
      </c>
      <c r="B170" t="s">
        <v>739</v>
      </c>
      <c r="C170" t="s">
        <v>59</v>
      </c>
      <c r="D170" t="s">
        <v>23</v>
      </c>
      <c r="E170" t="s">
        <v>24</v>
      </c>
      <c r="F170">
        <v>150</v>
      </c>
      <c r="G170" t="s">
        <v>740</v>
      </c>
      <c r="H170" t="s">
        <v>61</v>
      </c>
      <c r="I170" t="s">
        <v>741</v>
      </c>
      <c r="J170" t="s">
        <v>70</v>
      </c>
      <c r="K170" t="s">
        <v>29</v>
      </c>
      <c r="L170">
        <v>6</v>
      </c>
      <c r="M170">
        <v>2098.6</v>
      </c>
      <c r="N170" t="s">
        <v>740</v>
      </c>
      <c r="O170" t="s">
        <v>742</v>
      </c>
      <c r="P170" t="s">
        <v>31</v>
      </c>
      <c r="Q170">
        <v>6.5</v>
      </c>
      <c r="R170">
        <v>3.5</v>
      </c>
      <c r="S170">
        <v>3</v>
      </c>
      <c r="T170">
        <v>5.666666666666667</v>
      </c>
    </row>
    <row r="171" spans="1:20" x14ac:dyDescent="0.3">
      <c r="A171" t="s">
        <v>743</v>
      </c>
      <c r="B171" t="s">
        <v>155</v>
      </c>
      <c r="C171" t="s">
        <v>111</v>
      </c>
      <c r="D171" t="s">
        <v>23</v>
      </c>
      <c r="E171" t="s">
        <v>160</v>
      </c>
      <c r="F171">
        <v>35</v>
      </c>
      <c r="G171" t="s">
        <v>744</v>
      </c>
      <c r="H171" t="s">
        <v>26</v>
      </c>
      <c r="I171" t="s">
        <v>745</v>
      </c>
      <c r="J171" t="s">
        <v>28</v>
      </c>
      <c r="K171" t="s">
        <v>29</v>
      </c>
      <c r="L171">
        <v>6</v>
      </c>
      <c r="M171">
        <v>278.60000000000002</v>
      </c>
      <c r="N171" t="s">
        <v>744</v>
      </c>
      <c r="P171" t="s">
        <v>40</v>
      </c>
      <c r="Q171">
        <v>5.5625</v>
      </c>
      <c r="R171">
        <v>2.8125</v>
      </c>
      <c r="S171">
        <v>3</v>
      </c>
      <c r="T171">
        <v>4</v>
      </c>
    </row>
    <row r="172" spans="1:20" x14ac:dyDescent="0.3">
      <c r="A172" t="s">
        <v>746</v>
      </c>
      <c r="B172" t="s">
        <v>747</v>
      </c>
      <c r="C172" t="s">
        <v>97</v>
      </c>
      <c r="D172" t="s">
        <v>23</v>
      </c>
      <c r="E172" t="s">
        <v>87</v>
      </c>
      <c r="F172">
        <v>150</v>
      </c>
      <c r="G172" t="s">
        <v>748</v>
      </c>
      <c r="H172" t="s">
        <v>99</v>
      </c>
      <c r="I172" t="s">
        <v>749</v>
      </c>
      <c r="J172" t="s">
        <v>56</v>
      </c>
      <c r="K172" t="s">
        <v>29</v>
      </c>
      <c r="L172">
        <v>9</v>
      </c>
      <c r="M172">
        <v>80.36</v>
      </c>
      <c r="N172" t="s">
        <v>748</v>
      </c>
      <c r="P172" t="s">
        <v>40</v>
      </c>
      <c r="Q172">
        <v>17</v>
      </c>
      <c r="R172">
        <v>9.2666666666666675</v>
      </c>
      <c r="S172">
        <v>3</v>
      </c>
      <c r="T172">
        <v>4.666666666666667</v>
      </c>
    </row>
    <row r="173" spans="1:20" x14ac:dyDescent="0.3">
      <c r="A173" t="s">
        <v>750</v>
      </c>
      <c r="B173" t="s">
        <v>751</v>
      </c>
      <c r="C173" t="s">
        <v>59</v>
      </c>
      <c r="D173" t="s">
        <v>23</v>
      </c>
      <c r="E173" t="s">
        <v>160</v>
      </c>
      <c r="F173">
        <v>80</v>
      </c>
      <c r="G173" t="s">
        <v>752</v>
      </c>
      <c r="H173" t="s">
        <v>54</v>
      </c>
      <c r="I173" t="s">
        <v>753</v>
      </c>
      <c r="J173" t="s">
        <v>56</v>
      </c>
      <c r="K173" t="s">
        <v>48</v>
      </c>
      <c r="L173">
        <v>7</v>
      </c>
      <c r="M173">
        <v>72.52</v>
      </c>
      <c r="N173" t="s">
        <v>752</v>
      </c>
      <c r="P173" t="s">
        <v>40</v>
      </c>
      <c r="Q173">
        <v>15.3</v>
      </c>
      <c r="R173">
        <v>9.3000000000000007</v>
      </c>
      <c r="S173">
        <v>5</v>
      </c>
      <c r="T173">
        <v>5.4</v>
      </c>
    </row>
    <row r="174" spans="1:20" x14ac:dyDescent="0.3">
      <c r="A174" t="s">
        <v>754</v>
      </c>
      <c r="B174" t="s">
        <v>755</v>
      </c>
      <c r="C174" t="s">
        <v>82</v>
      </c>
      <c r="D174" t="s">
        <v>23</v>
      </c>
      <c r="E174" t="s">
        <v>160</v>
      </c>
      <c r="F174">
        <v>80</v>
      </c>
      <c r="G174" t="s">
        <v>756</v>
      </c>
      <c r="H174" t="s">
        <v>26</v>
      </c>
      <c r="I174" t="s">
        <v>757</v>
      </c>
      <c r="J174" t="s">
        <v>70</v>
      </c>
      <c r="K174" t="s">
        <v>29</v>
      </c>
      <c r="L174">
        <v>8</v>
      </c>
      <c r="M174">
        <v>2338.44</v>
      </c>
      <c r="N174" t="s">
        <v>756</v>
      </c>
      <c r="P174" t="s">
        <v>40</v>
      </c>
      <c r="Q174">
        <v>6.2</v>
      </c>
      <c r="R174">
        <v>4.2</v>
      </c>
      <c r="S174">
        <v>3</v>
      </c>
      <c r="T174">
        <v>4</v>
      </c>
    </row>
    <row r="175" spans="1:20" x14ac:dyDescent="0.3">
      <c r="A175" t="s">
        <v>758</v>
      </c>
      <c r="B175" t="s">
        <v>759</v>
      </c>
      <c r="C175" t="s">
        <v>111</v>
      </c>
      <c r="D175" t="s">
        <v>138</v>
      </c>
      <c r="E175" t="s">
        <v>138</v>
      </c>
      <c r="F175">
        <v>3000</v>
      </c>
      <c r="G175" t="s">
        <v>760</v>
      </c>
      <c r="H175" t="s">
        <v>26</v>
      </c>
      <c r="I175" t="s">
        <v>761</v>
      </c>
      <c r="J175" t="s">
        <v>28</v>
      </c>
      <c r="K175" t="s">
        <v>29</v>
      </c>
      <c r="L175">
        <v>6</v>
      </c>
      <c r="M175">
        <v>278.60000000000002</v>
      </c>
      <c r="N175" t="s">
        <v>760</v>
      </c>
      <c r="P175" t="s">
        <v>40</v>
      </c>
      <c r="Q175">
        <v>3.1428571428571428</v>
      </c>
      <c r="R175">
        <v>1.2380952380952379</v>
      </c>
      <c r="S175">
        <v>4</v>
      </c>
      <c r="T175">
        <v>6.75</v>
      </c>
    </row>
    <row r="176" spans="1:20" x14ac:dyDescent="0.3">
      <c r="A176" t="s">
        <v>762</v>
      </c>
      <c r="B176" t="s">
        <v>763</v>
      </c>
      <c r="C176" t="s">
        <v>34</v>
      </c>
      <c r="D176" t="s">
        <v>127</v>
      </c>
      <c r="E176" t="s">
        <v>128</v>
      </c>
      <c r="F176">
        <v>80</v>
      </c>
      <c r="G176" t="s">
        <v>764</v>
      </c>
      <c r="H176" t="s">
        <v>38</v>
      </c>
      <c r="I176" t="s">
        <v>765</v>
      </c>
      <c r="J176" t="s">
        <v>56</v>
      </c>
      <c r="K176" t="s">
        <v>48</v>
      </c>
      <c r="L176">
        <v>3</v>
      </c>
      <c r="M176">
        <v>56.84</v>
      </c>
      <c r="N176" t="s">
        <v>764</v>
      </c>
      <c r="P176" t="s">
        <v>40</v>
      </c>
      <c r="Q176">
        <v>21.2</v>
      </c>
      <c r="R176">
        <v>10.93333333333333</v>
      </c>
      <c r="S176">
        <v>2</v>
      </c>
      <c r="T176">
        <v>6.5</v>
      </c>
    </row>
    <row r="177" spans="1:20" x14ac:dyDescent="0.3">
      <c r="A177" t="s">
        <v>766</v>
      </c>
      <c r="B177" t="s">
        <v>660</v>
      </c>
      <c r="C177" t="s">
        <v>67</v>
      </c>
      <c r="D177" t="s">
        <v>35</v>
      </c>
      <c r="E177" t="s">
        <v>52</v>
      </c>
      <c r="F177">
        <v>400</v>
      </c>
      <c r="G177" t="s">
        <v>767</v>
      </c>
      <c r="H177" t="s">
        <v>46</v>
      </c>
      <c r="I177" t="s">
        <v>768</v>
      </c>
      <c r="J177" t="s">
        <v>63</v>
      </c>
      <c r="K177" t="s">
        <v>29</v>
      </c>
      <c r="L177">
        <v>5</v>
      </c>
      <c r="M177">
        <v>658.68</v>
      </c>
      <c r="N177" t="s">
        <v>767</v>
      </c>
      <c r="P177" t="s">
        <v>40</v>
      </c>
      <c r="Q177">
        <v>4</v>
      </c>
      <c r="R177">
        <v>1.75</v>
      </c>
      <c r="S177">
        <v>3</v>
      </c>
      <c r="T177">
        <v>9.3333333333333339</v>
      </c>
    </row>
    <row r="178" spans="1:20" x14ac:dyDescent="0.3">
      <c r="A178" t="s">
        <v>769</v>
      </c>
      <c r="B178" t="s">
        <v>770</v>
      </c>
      <c r="C178" t="s">
        <v>34</v>
      </c>
      <c r="D178" t="s">
        <v>23</v>
      </c>
      <c r="E178" t="s">
        <v>117</v>
      </c>
      <c r="F178">
        <v>80</v>
      </c>
      <c r="G178" t="s">
        <v>771</v>
      </c>
      <c r="H178" t="s">
        <v>38</v>
      </c>
      <c r="I178" t="s">
        <v>772</v>
      </c>
      <c r="J178" t="s">
        <v>56</v>
      </c>
      <c r="K178" t="s">
        <v>29</v>
      </c>
      <c r="L178">
        <v>8</v>
      </c>
      <c r="M178">
        <v>76.44</v>
      </c>
      <c r="N178" t="s">
        <v>771</v>
      </c>
      <c r="O178" t="s">
        <v>773</v>
      </c>
      <c r="P178" t="s">
        <v>31</v>
      </c>
      <c r="Q178">
        <v>12.33333333333333</v>
      </c>
      <c r="R178">
        <v>7.666666666666667</v>
      </c>
      <c r="S178">
        <v>2</v>
      </c>
      <c r="T178">
        <v>4.5</v>
      </c>
    </row>
    <row r="179" spans="1:20" x14ac:dyDescent="0.3">
      <c r="A179" t="s">
        <v>774</v>
      </c>
      <c r="B179" t="s">
        <v>775</v>
      </c>
      <c r="C179" t="s">
        <v>51</v>
      </c>
      <c r="D179" t="s">
        <v>127</v>
      </c>
      <c r="E179" t="s">
        <v>245</v>
      </c>
      <c r="F179">
        <v>35</v>
      </c>
      <c r="G179" t="s">
        <v>776</v>
      </c>
      <c r="H179" t="s">
        <v>38</v>
      </c>
      <c r="I179" t="s">
        <v>777</v>
      </c>
      <c r="J179" t="s">
        <v>28</v>
      </c>
      <c r="K179" t="s">
        <v>29</v>
      </c>
      <c r="L179">
        <v>8</v>
      </c>
      <c r="M179">
        <v>294.52</v>
      </c>
      <c r="N179" t="s">
        <v>776</v>
      </c>
      <c r="P179" t="s">
        <v>40</v>
      </c>
      <c r="Q179">
        <v>19.285714285714281</v>
      </c>
      <c r="R179">
        <v>9.6428571428571423</v>
      </c>
    </row>
    <row r="180" spans="1:20" x14ac:dyDescent="0.3">
      <c r="A180" t="s">
        <v>778</v>
      </c>
      <c r="B180" t="s">
        <v>779</v>
      </c>
      <c r="C180" t="s">
        <v>97</v>
      </c>
      <c r="D180" t="s">
        <v>138</v>
      </c>
      <c r="E180" t="s">
        <v>138</v>
      </c>
      <c r="F180">
        <v>400</v>
      </c>
      <c r="G180" t="s">
        <v>780</v>
      </c>
      <c r="H180" t="s">
        <v>38</v>
      </c>
      <c r="I180" t="s">
        <v>781</v>
      </c>
      <c r="J180" t="s">
        <v>63</v>
      </c>
      <c r="K180" t="s">
        <v>29</v>
      </c>
      <c r="L180">
        <v>9</v>
      </c>
      <c r="M180">
        <v>818.36</v>
      </c>
      <c r="N180" t="s">
        <v>780</v>
      </c>
      <c r="O180" t="s">
        <v>196</v>
      </c>
      <c r="P180" t="s">
        <v>31</v>
      </c>
      <c r="Q180">
        <v>11.5</v>
      </c>
      <c r="R180">
        <v>5</v>
      </c>
    </row>
    <row r="181" spans="1:20" x14ac:dyDescent="0.3">
      <c r="A181" t="s">
        <v>782</v>
      </c>
      <c r="B181" t="s">
        <v>783</v>
      </c>
      <c r="C181" t="s">
        <v>34</v>
      </c>
      <c r="D181" t="s">
        <v>23</v>
      </c>
      <c r="E181" t="s">
        <v>73</v>
      </c>
      <c r="F181">
        <v>12</v>
      </c>
      <c r="G181" t="s">
        <v>784</v>
      </c>
      <c r="H181" t="s">
        <v>99</v>
      </c>
      <c r="I181" t="s">
        <v>785</v>
      </c>
      <c r="J181" t="s">
        <v>56</v>
      </c>
      <c r="K181" t="s">
        <v>29</v>
      </c>
      <c r="L181">
        <v>8</v>
      </c>
      <c r="M181">
        <v>76.44</v>
      </c>
      <c r="N181" t="s">
        <v>784</v>
      </c>
      <c r="O181" t="s">
        <v>786</v>
      </c>
      <c r="P181" t="s">
        <v>31</v>
      </c>
      <c r="Q181">
        <v>8.75</v>
      </c>
      <c r="R181">
        <v>5</v>
      </c>
      <c r="S181">
        <v>1</v>
      </c>
      <c r="T181">
        <v>5</v>
      </c>
    </row>
    <row r="182" spans="1:20" x14ac:dyDescent="0.3">
      <c r="A182" t="s">
        <v>787</v>
      </c>
      <c r="B182" t="s">
        <v>788</v>
      </c>
      <c r="C182" t="s">
        <v>51</v>
      </c>
      <c r="D182" t="s">
        <v>23</v>
      </c>
      <c r="E182" t="s">
        <v>160</v>
      </c>
      <c r="F182">
        <v>80</v>
      </c>
      <c r="G182" t="s">
        <v>789</v>
      </c>
      <c r="H182" t="s">
        <v>54</v>
      </c>
      <c r="I182" t="s">
        <v>790</v>
      </c>
      <c r="J182" t="s">
        <v>28</v>
      </c>
      <c r="K182" t="s">
        <v>29</v>
      </c>
      <c r="L182">
        <v>3</v>
      </c>
      <c r="M182">
        <v>230.84</v>
      </c>
      <c r="N182" t="s">
        <v>789</v>
      </c>
      <c r="P182" t="s">
        <v>40</v>
      </c>
      <c r="Q182">
        <v>12.6</v>
      </c>
      <c r="R182">
        <v>5.6</v>
      </c>
      <c r="S182">
        <v>6</v>
      </c>
      <c r="T182">
        <v>6</v>
      </c>
    </row>
    <row r="183" spans="1:20" x14ac:dyDescent="0.3">
      <c r="A183" t="s">
        <v>791</v>
      </c>
      <c r="B183" t="s">
        <v>792</v>
      </c>
      <c r="C183" t="s">
        <v>59</v>
      </c>
      <c r="D183" t="s">
        <v>23</v>
      </c>
      <c r="E183" t="s">
        <v>73</v>
      </c>
      <c r="F183">
        <v>12</v>
      </c>
      <c r="G183" t="s">
        <v>793</v>
      </c>
      <c r="H183" t="s">
        <v>46</v>
      </c>
      <c r="I183" t="s">
        <v>794</v>
      </c>
      <c r="J183" t="s">
        <v>56</v>
      </c>
      <c r="K183" t="s">
        <v>29</v>
      </c>
      <c r="L183">
        <v>3</v>
      </c>
      <c r="M183">
        <v>56.84</v>
      </c>
      <c r="N183" t="s">
        <v>793</v>
      </c>
      <c r="P183" t="s">
        <v>40</v>
      </c>
      <c r="Q183">
        <v>5.15</v>
      </c>
      <c r="R183">
        <v>2.35</v>
      </c>
      <c r="S183">
        <v>7</v>
      </c>
      <c r="T183">
        <v>5.7142857142857144</v>
      </c>
    </row>
    <row r="184" spans="1:20" x14ac:dyDescent="0.3">
      <c r="A184" t="s">
        <v>795</v>
      </c>
      <c r="B184" t="s">
        <v>796</v>
      </c>
      <c r="C184" t="s">
        <v>82</v>
      </c>
      <c r="D184" t="s">
        <v>43</v>
      </c>
      <c r="E184" t="s">
        <v>78</v>
      </c>
      <c r="F184">
        <v>12</v>
      </c>
      <c r="G184" t="s">
        <v>797</v>
      </c>
      <c r="H184" t="s">
        <v>46</v>
      </c>
      <c r="I184" t="s">
        <v>798</v>
      </c>
      <c r="J184" t="s">
        <v>56</v>
      </c>
      <c r="K184" t="s">
        <v>29</v>
      </c>
      <c r="L184">
        <v>7</v>
      </c>
      <c r="M184">
        <v>72.52</v>
      </c>
      <c r="N184" t="s">
        <v>797</v>
      </c>
      <c r="O184" t="s">
        <v>799</v>
      </c>
      <c r="P184" t="s">
        <v>31</v>
      </c>
      <c r="Q184">
        <v>12</v>
      </c>
      <c r="R184">
        <v>5.8</v>
      </c>
      <c r="S184">
        <v>5</v>
      </c>
      <c r="T184">
        <v>4.8</v>
      </c>
    </row>
    <row r="185" spans="1:20" x14ac:dyDescent="0.3">
      <c r="A185" t="s">
        <v>800</v>
      </c>
      <c r="B185" t="s">
        <v>323</v>
      </c>
      <c r="C185" t="s">
        <v>111</v>
      </c>
      <c r="D185" t="s">
        <v>127</v>
      </c>
      <c r="E185" t="s">
        <v>128</v>
      </c>
      <c r="F185">
        <v>12</v>
      </c>
      <c r="G185" t="s">
        <v>801</v>
      </c>
      <c r="H185" t="s">
        <v>46</v>
      </c>
      <c r="I185" t="s">
        <v>802</v>
      </c>
      <c r="J185" t="s">
        <v>56</v>
      </c>
      <c r="K185" t="s">
        <v>29</v>
      </c>
      <c r="L185">
        <v>7</v>
      </c>
      <c r="M185">
        <v>72.52</v>
      </c>
      <c r="N185" t="s">
        <v>801</v>
      </c>
      <c r="P185" t="s">
        <v>40</v>
      </c>
      <c r="Q185">
        <v>17.5</v>
      </c>
      <c r="R185">
        <v>11.142857142857141</v>
      </c>
      <c r="S185">
        <v>5</v>
      </c>
      <c r="T185">
        <v>5.2</v>
      </c>
    </row>
    <row r="186" spans="1:20" x14ac:dyDescent="0.3">
      <c r="A186" t="s">
        <v>803</v>
      </c>
      <c r="B186" t="s">
        <v>804</v>
      </c>
      <c r="C186" t="s">
        <v>51</v>
      </c>
      <c r="D186" t="s">
        <v>23</v>
      </c>
      <c r="E186" t="s">
        <v>117</v>
      </c>
      <c r="F186">
        <v>12</v>
      </c>
      <c r="G186" t="s">
        <v>434</v>
      </c>
      <c r="H186" t="s">
        <v>54</v>
      </c>
      <c r="I186" t="s">
        <v>805</v>
      </c>
      <c r="J186" t="s">
        <v>28</v>
      </c>
      <c r="K186" t="s">
        <v>29</v>
      </c>
      <c r="L186">
        <v>9</v>
      </c>
      <c r="M186">
        <v>326.36</v>
      </c>
      <c r="N186" t="s">
        <v>434</v>
      </c>
      <c r="P186" t="s">
        <v>40</v>
      </c>
      <c r="Q186">
        <v>18.94736842105263</v>
      </c>
      <c r="R186">
        <v>10.789473684210529</v>
      </c>
      <c r="S186">
        <v>2</v>
      </c>
      <c r="T186">
        <v>4.5</v>
      </c>
    </row>
    <row r="187" spans="1:20" x14ac:dyDescent="0.3">
      <c r="A187" t="s">
        <v>806</v>
      </c>
      <c r="B187" t="s">
        <v>807</v>
      </c>
      <c r="C187" t="s">
        <v>111</v>
      </c>
      <c r="D187" t="s">
        <v>127</v>
      </c>
      <c r="E187" t="s">
        <v>133</v>
      </c>
      <c r="F187">
        <v>12</v>
      </c>
      <c r="G187" t="s">
        <v>808</v>
      </c>
      <c r="H187" t="s">
        <v>26</v>
      </c>
      <c r="I187" t="s">
        <v>809</v>
      </c>
      <c r="J187" t="s">
        <v>56</v>
      </c>
      <c r="K187" t="s">
        <v>48</v>
      </c>
      <c r="L187">
        <v>4</v>
      </c>
      <c r="M187">
        <v>60.76</v>
      </c>
      <c r="N187" t="s">
        <v>808</v>
      </c>
      <c r="O187" t="s">
        <v>810</v>
      </c>
      <c r="P187" t="s">
        <v>31</v>
      </c>
      <c r="Q187">
        <v>4.2857142857142856</v>
      </c>
      <c r="R187">
        <v>2</v>
      </c>
      <c r="S187">
        <v>3</v>
      </c>
      <c r="T187">
        <v>5</v>
      </c>
    </row>
    <row r="188" spans="1:20" x14ac:dyDescent="0.3">
      <c r="A188" t="s">
        <v>811</v>
      </c>
      <c r="B188" t="s">
        <v>812</v>
      </c>
      <c r="C188" t="s">
        <v>51</v>
      </c>
      <c r="D188" t="s">
        <v>43</v>
      </c>
      <c r="E188" t="s">
        <v>44</v>
      </c>
      <c r="F188">
        <v>80</v>
      </c>
      <c r="G188" t="s">
        <v>813</v>
      </c>
      <c r="H188" t="s">
        <v>46</v>
      </c>
      <c r="I188" t="s">
        <v>814</v>
      </c>
      <c r="J188" t="s">
        <v>56</v>
      </c>
      <c r="K188" t="s">
        <v>48</v>
      </c>
      <c r="L188">
        <v>6</v>
      </c>
      <c r="M188">
        <v>68.599999999999994</v>
      </c>
      <c r="N188" t="s">
        <v>813</v>
      </c>
      <c r="O188" t="s">
        <v>129</v>
      </c>
      <c r="P188" t="s">
        <v>31</v>
      </c>
      <c r="Q188">
        <v>12.90909090909091</v>
      </c>
      <c r="R188">
        <v>8.545454545454545</v>
      </c>
      <c r="S188">
        <v>1</v>
      </c>
      <c r="T188">
        <v>1</v>
      </c>
    </row>
    <row r="189" spans="1:20" x14ac:dyDescent="0.3">
      <c r="A189" t="s">
        <v>815</v>
      </c>
      <c r="B189" t="s">
        <v>816</v>
      </c>
      <c r="C189" t="s">
        <v>97</v>
      </c>
      <c r="D189" t="s">
        <v>35</v>
      </c>
      <c r="E189" t="s">
        <v>36</v>
      </c>
      <c r="F189">
        <v>150</v>
      </c>
      <c r="G189" t="s">
        <v>817</v>
      </c>
      <c r="H189" t="s">
        <v>54</v>
      </c>
      <c r="I189" t="s">
        <v>818</v>
      </c>
      <c r="J189" t="s">
        <v>28</v>
      </c>
      <c r="K189" t="s">
        <v>48</v>
      </c>
      <c r="L189">
        <v>3</v>
      </c>
      <c r="M189">
        <v>230.84</v>
      </c>
      <c r="N189" t="s">
        <v>817</v>
      </c>
      <c r="O189" t="s">
        <v>819</v>
      </c>
      <c r="P189" t="s">
        <v>31</v>
      </c>
      <c r="Q189">
        <v>16.25</v>
      </c>
      <c r="R189">
        <v>8.5</v>
      </c>
      <c r="S189">
        <v>2</v>
      </c>
      <c r="T189">
        <v>4.5</v>
      </c>
    </row>
    <row r="190" spans="1:20" x14ac:dyDescent="0.3">
      <c r="A190" t="s">
        <v>820</v>
      </c>
      <c r="B190" t="s">
        <v>821</v>
      </c>
      <c r="C190" t="s">
        <v>34</v>
      </c>
      <c r="D190" t="s">
        <v>23</v>
      </c>
      <c r="E190" t="s">
        <v>160</v>
      </c>
      <c r="F190">
        <v>1200</v>
      </c>
      <c r="G190" t="s">
        <v>822</v>
      </c>
      <c r="H190" t="s">
        <v>46</v>
      </c>
      <c r="I190" t="s">
        <v>823</v>
      </c>
      <c r="J190" t="s">
        <v>70</v>
      </c>
      <c r="K190" t="s">
        <v>29</v>
      </c>
      <c r="L190">
        <v>5</v>
      </c>
      <c r="M190">
        <v>1978.68</v>
      </c>
      <c r="N190" t="s">
        <v>822</v>
      </c>
      <c r="O190" t="s">
        <v>824</v>
      </c>
      <c r="P190" t="s">
        <v>31</v>
      </c>
      <c r="Q190">
        <v>2.3125</v>
      </c>
      <c r="R190">
        <v>0.875</v>
      </c>
      <c r="S190">
        <v>4</v>
      </c>
      <c r="T190">
        <v>3.75</v>
      </c>
    </row>
    <row r="191" spans="1:20" x14ac:dyDescent="0.3">
      <c r="A191" t="s">
        <v>825</v>
      </c>
      <c r="B191" t="s">
        <v>826</v>
      </c>
      <c r="C191" t="s">
        <v>67</v>
      </c>
      <c r="D191" t="s">
        <v>127</v>
      </c>
      <c r="E191" t="s">
        <v>245</v>
      </c>
      <c r="F191">
        <v>400</v>
      </c>
      <c r="G191" t="s">
        <v>827</v>
      </c>
      <c r="H191" t="s">
        <v>26</v>
      </c>
      <c r="I191" t="s">
        <v>828</v>
      </c>
      <c r="J191" t="s">
        <v>28</v>
      </c>
      <c r="K191" t="s">
        <v>29</v>
      </c>
      <c r="L191">
        <v>9</v>
      </c>
      <c r="M191">
        <v>326.36</v>
      </c>
      <c r="N191" t="s">
        <v>827</v>
      </c>
      <c r="O191" t="s">
        <v>829</v>
      </c>
      <c r="P191" t="s">
        <v>31</v>
      </c>
      <c r="Q191">
        <v>5.7777777777777777</v>
      </c>
      <c r="R191">
        <v>2.8888888888888888</v>
      </c>
      <c r="S191">
        <v>3</v>
      </c>
      <c r="T191">
        <v>6</v>
      </c>
    </row>
    <row r="192" spans="1:20" x14ac:dyDescent="0.3">
      <c r="A192" t="s">
        <v>825</v>
      </c>
      <c r="B192" t="s">
        <v>826</v>
      </c>
      <c r="C192" t="s">
        <v>67</v>
      </c>
      <c r="D192" t="s">
        <v>127</v>
      </c>
      <c r="E192" t="s">
        <v>245</v>
      </c>
      <c r="F192">
        <v>400</v>
      </c>
      <c r="G192" t="s">
        <v>827</v>
      </c>
      <c r="H192" t="s">
        <v>26</v>
      </c>
      <c r="I192" t="s">
        <v>830</v>
      </c>
      <c r="J192" t="s">
        <v>56</v>
      </c>
      <c r="K192" t="s">
        <v>29</v>
      </c>
      <c r="L192">
        <v>8</v>
      </c>
      <c r="M192">
        <v>76.44</v>
      </c>
      <c r="N192" t="s">
        <v>831</v>
      </c>
      <c r="O192" t="s">
        <v>832</v>
      </c>
      <c r="P192" t="s">
        <v>31</v>
      </c>
      <c r="Q192">
        <v>5.7777777777777777</v>
      </c>
      <c r="R192">
        <v>2.8888888888888888</v>
      </c>
      <c r="S192">
        <v>3</v>
      </c>
      <c r="T192">
        <v>6</v>
      </c>
    </row>
    <row r="193" spans="1:20" x14ac:dyDescent="0.3">
      <c r="A193" t="s">
        <v>833</v>
      </c>
      <c r="B193" t="s">
        <v>834</v>
      </c>
      <c r="C193" t="s">
        <v>67</v>
      </c>
      <c r="D193" t="s">
        <v>127</v>
      </c>
      <c r="E193" t="s">
        <v>133</v>
      </c>
      <c r="F193">
        <v>80</v>
      </c>
      <c r="G193" t="s">
        <v>835</v>
      </c>
      <c r="H193" t="s">
        <v>46</v>
      </c>
      <c r="I193" t="s">
        <v>836</v>
      </c>
      <c r="J193" t="s">
        <v>63</v>
      </c>
      <c r="K193" t="s">
        <v>29</v>
      </c>
      <c r="L193">
        <v>9</v>
      </c>
      <c r="M193">
        <v>818.36</v>
      </c>
      <c r="N193" t="s">
        <v>835</v>
      </c>
      <c r="P193" t="s">
        <v>40</v>
      </c>
      <c r="Q193">
        <v>9.1428571428571423</v>
      </c>
      <c r="R193">
        <v>4.7142857142857144</v>
      </c>
      <c r="S193">
        <v>2</v>
      </c>
      <c r="T193">
        <v>3.5</v>
      </c>
    </row>
    <row r="194" spans="1:20" x14ac:dyDescent="0.3">
      <c r="A194" t="s">
        <v>837</v>
      </c>
      <c r="B194" t="s">
        <v>838</v>
      </c>
      <c r="C194" t="s">
        <v>34</v>
      </c>
      <c r="D194" t="s">
        <v>23</v>
      </c>
      <c r="E194" t="s">
        <v>117</v>
      </c>
      <c r="F194">
        <v>35</v>
      </c>
      <c r="G194" t="s">
        <v>839</v>
      </c>
      <c r="H194" t="s">
        <v>54</v>
      </c>
      <c r="I194" t="s">
        <v>840</v>
      </c>
      <c r="J194" t="s">
        <v>28</v>
      </c>
      <c r="K194" t="s">
        <v>48</v>
      </c>
      <c r="L194">
        <v>7</v>
      </c>
      <c r="M194">
        <v>294.52</v>
      </c>
      <c r="N194" t="s">
        <v>839</v>
      </c>
      <c r="O194" t="s">
        <v>841</v>
      </c>
      <c r="P194" t="s">
        <v>31</v>
      </c>
      <c r="Q194">
        <v>10.6</v>
      </c>
      <c r="R194">
        <v>5.4</v>
      </c>
      <c r="S194">
        <v>3</v>
      </c>
      <c r="T194">
        <v>6</v>
      </c>
    </row>
    <row r="195" spans="1:20" x14ac:dyDescent="0.3">
      <c r="A195" t="s">
        <v>842</v>
      </c>
      <c r="B195" t="s">
        <v>843</v>
      </c>
      <c r="C195" t="s">
        <v>111</v>
      </c>
      <c r="D195" t="s">
        <v>35</v>
      </c>
      <c r="E195" t="s">
        <v>52</v>
      </c>
      <c r="F195">
        <v>80</v>
      </c>
      <c r="G195" t="s">
        <v>844</v>
      </c>
      <c r="H195" t="s">
        <v>26</v>
      </c>
      <c r="I195" t="s">
        <v>845</v>
      </c>
      <c r="J195" t="s">
        <v>63</v>
      </c>
      <c r="K195" t="s">
        <v>29</v>
      </c>
      <c r="L195">
        <v>7</v>
      </c>
      <c r="M195">
        <v>738.52</v>
      </c>
      <c r="N195" t="s">
        <v>844</v>
      </c>
      <c r="P195" t="s">
        <v>40</v>
      </c>
      <c r="Q195">
        <v>6.9333333333333336</v>
      </c>
      <c r="R195">
        <v>3.9333333333333331</v>
      </c>
      <c r="S195">
        <v>3</v>
      </c>
      <c r="T195">
        <v>6</v>
      </c>
    </row>
    <row r="196" spans="1:20" x14ac:dyDescent="0.3">
      <c r="A196" t="s">
        <v>846</v>
      </c>
      <c r="B196" t="s">
        <v>847</v>
      </c>
      <c r="C196" t="s">
        <v>67</v>
      </c>
      <c r="D196" t="s">
        <v>23</v>
      </c>
      <c r="E196" t="s">
        <v>117</v>
      </c>
      <c r="F196">
        <v>150</v>
      </c>
      <c r="G196" t="s">
        <v>848</v>
      </c>
      <c r="H196" t="s">
        <v>46</v>
      </c>
      <c r="I196" t="s">
        <v>849</v>
      </c>
      <c r="J196" t="s">
        <v>63</v>
      </c>
      <c r="K196" t="s">
        <v>29</v>
      </c>
      <c r="L196">
        <v>3</v>
      </c>
      <c r="M196">
        <v>578.84</v>
      </c>
      <c r="N196" t="s">
        <v>848</v>
      </c>
      <c r="P196" t="s">
        <v>40</v>
      </c>
      <c r="Q196">
        <v>20.9</v>
      </c>
      <c r="R196">
        <v>12.2</v>
      </c>
      <c r="S196">
        <v>2</v>
      </c>
      <c r="T196">
        <v>5.5</v>
      </c>
    </row>
    <row r="197" spans="1:20" x14ac:dyDescent="0.3">
      <c r="A197" t="s">
        <v>850</v>
      </c>
      <c r="B197" t="s">
        <v>851</v>
      </c>
      <c r="C197" t="s">
        <v>97</v>
      </c>
      <c r="D197" t="s">
        <v>23</v>
      </c>
      <c r="E197" t="s">
        <v>24</v>
      </c>
      <c r="F197">
        <v>12</v>
      </c>
      <c r="G197" t="s">
        <v>852</v>
      </c>
      <c r="H197" t="s">
        <v>38</v>
      </c>
      <c r="I197" t="s">
        <v>853</v>
      </c>
      <c r="J197" t="s">
        <v>63</v>
      </c>
      <c r="K197" t="s">
        <v>29</v>
      </c>
      <c r="L197">
        <v>8</v>
      </c>
      <c r="M197">
        <v>778.44</v>
      </c>
      <c r="N197" t="s">
        <v>852</v>
      </c>
      <c r="P197" t="s">
        <v>40</v>
      </c>
      <c r="Q197">
        <v>21.611111111111111</v>
      </c>
      <c r="R197">
        <v>13.611111111111111</v>
      </c>
      <c r="S197">
        <v>4</v>
      </c>
      <c r="T197">
        <v>5</v>
      </c>
    </row>
    <row r="198" spans="1:20" x14ac:dyDescent="0.3">
      <c r="A198" t="s">
        <v>854</v>
      </c>
      <c r="B198" t="s">
        <v>855</v>
      </c>
      <c r="C198" t="s">
        <v>111</v>
      </c>
      <c r="D198" t="s">
        <v>23</v>
      </c>
      <c r="E198" t="s">
        <v>160</v>
      </c>
      <c r="F198">
        <v>150</v>
      </c>
      <c r="G198" t="s">
        <v>797</v>
      </c>
      <c r="H198" t="s">
        <v>38</v>
      </c>
      <c r="I198" t="s">
        <v>856</v>
      </c>
      <c r="J198" t="s">
        <v>28</v>
      </c>
      <c r="K198" t="s">
        <v>48</v>
      </c>
      <c r="L198">
        <v>8</v>
      </c>
      <c r="M198">
        <v>310.44</v>
      </c>
      <c r="N198" t="s">
        <v>797</v>
      </c>
      <c r="O198" t="s">
        <v>857</v>
      </c>
      <c r="P198" t="s">
        <v>31</v>
      </c>
      <c r="Q198">
        <v>3.8</v>
      </c>
      <c r="R198">
        <v>1.8</v>
      </c>
      <c r="S198">
        <v>1</v>
      </c>
      <c r="T198">
        <v>3</v>
      </c>
    </row>
    <row r="199" spans="1:20" x14ac:dyDescent="0.3">
      <c r="A199" t="s">
        <v>858</v>
      </c>
      <c r="B199" t="s">
        <v>859</v>
      </c>
      <c r="C199" t="s">
        <v>51</v>
      </c>
      <c r="D199" t="s">
        <v>35</v>
      </c>
      <c r="E199" t="s">
        <v>52</v>
      </c>
      <c r="F199">
        <v>12</v>
      </c>
      <c r="G199" t="s">
        <v>860</v>
      </c>
      <c r="H199" t="s">
        <v>26</v>
      </c>
      <c r="I199" t="s">
        <v>861</v>
      </c>
      <c r="J199" t="s">
        <v>28</v>
      </c>
      <c r="K199" t="s">
        <v>29</v>
      </c>
      <c r="L199">
        <v>10</v>
      </c>
      <c r="M199">
        <v>342.28</v>
      </c>
      <c r="N199" t="s">
        <v>860</v>
      </c>
      <c r="P199" t="s">
        <v>40</v>
      </c>
      <c r="Q199">
        <v>2.304347826086957</v>
      </c>
      <c r="R199">
        <v>0.78260869565217395</v>
      </c>
      <c r="S199">
        <v>1</v>
      </c>
      <c r="T199">
        <v>9</v>
      </c>
    </row>
    <row r="200" spans="1:20" x14ac:dyDescent="0.3">
      <c r="A200" t="s">
        <v>862</v>
      </c>
      <c r="B200" t="s">
        <v>863</v>
      </c>
      <c r="C200" t="s">
        <v>97</v>
      </c>
      <c r="D200" t="s">
        <v>43</v>
      </c>
      <c r="E200" t="s">
        <v>78</v>
      </c>
      <c r="F200">
        <v>12</v>
      </c>
      <c r="G200" t="s">
        <v>864</v>
      </c>
      <c r="H200" t="s">
        <v>38</v>
      </c>
      <c r="I200" t="s">
        <v>865</v>
      </c>
      <c r="J200" t="s">
        <v>56</v>
      </c>
      <c r="K200" t="s">
        <v>29</v>
      </c>
      <c r="L200">
        <v>6</v>
      </c>
      <c r="M200">
        <v>68.599999999999994</v>
      </c>
      <c r="N200" t="s">
        <v>864</v>
      </c>
      <c r="P200" t="s">
        <v>40</v>
      </c>
      <c r="Q200">
        <v>18.92307692307692</v>
      </c>
      <c r="R200">
        <v>10.07692307692308</v>
      </c>
      <c r="S200">
        <v>2</v>
      </c>
      <c r="T200">
        <v>6.5</v>
      </c>
    </row>
    <row r="201" spans="1:20" x14ac:dyDescent="0.3">
      <c r="A201" t="s">
        <v>866</v>
      </c>
      <c r="B201" t="s">
        <v>867</v>
      </c>
      <c r="C201" t="s">
        <v>111</v>
      </c>
      <c r="D201" t="s">
        <v>35</v>
      </c>
      <c r="E201" t="s">
        <v>52</v>
      </c>
      <c r="F201">
        <v>150</v>
      </c>
      <c r="G201" t="s">
        <v>868</v>
      </c>
      <c r="H201" t="s">
        <v>46</v>
      </c>
      <c r="I201" t="s">
        <v>869</v>
      </c>
      <c r="J201" t="s">
        <v>56</v>
      </c>
      <c r="K201" t="s">
        <v>29</v>
      </c>
      <c r="L201">
        <v>10</v>
      </c>
      <c r="M201">
        <v>84.28</v>
      </c>
      <c r="N201" t="s">
        <v>868</v>
      </c>
      <c r="P201" t="s">
        <v>40</v>
      </c>
      <c r="Q201">
        <v>3.4444444444444451</v>
      </c>
      <c r="R201">
        <v>1.7777777777777779</v>
      </c>
      <c r="S201">
        <v>4</v>
      </c>
      <c r="T201">
        <v>5</v>
      </c>
    </row>
    <row r="202" spans="1:20" x14ac:dyDescent="0.3">
      <c r="A202" t="s">
        <v>870</v>
      </c>
      <c r="B202" t="s">
        <v>871</v>
      </c>
      <c r="C202" t="s">
        <v>22</v>
      </c>
      <c r="D202" t="s">
        <v>127</v>
      </c>
      <c r="E202" t="s">
        <v>128</v>
      </c>
      <c r="F202">
        <v>1200</v>
      </c>
      <c r="G202" t="s">
        <v>156</v>
      </c>
      <c r="H202" t="s">
        <v>26</v>
      </c>
      <c r="I202" t="s">
        <v>872</v>
      </c>
      <c r="J202" t="s">
        <v>28</v>
      </c>
      <c r="K202" t="s">
        <v>29</v>
      </c>
      <c r="L202">
        <v>6</v>
      </c>
      <c r="M202">
        <v>278.60000000000002</v>
      </c>
      <c r="N202" t="s">
        <v>156</v>
      </c>
      <c r="P202" t="s">
        <v>40</v>
      </c>
      <c r="Q202">
        <v>3.6</v>
      </c>
      <c r="R202">
        <v>2</v>
      </c>
      <c r="S202">
        <v>2</v>
      </c>
      <c r="T202">
        <v>5</v>
      </c>
    </row>
    <row r="203" spans="1:20" x14ac:dyDescent="0.3">
      <c r="A203" t="s">
        <v>873</v>
      </c>
      <c r="B203" t="s">
        <v>874</v>
      </c>
      <c r="C203" t="s">
        <v>51</v>
      </c>
      <c r="D203" t="s">
        <v>43</v>
      </c>
      <c r="E203" t="s">
        <v>44</v>
      </c>
      <c r="F203">
        <v>80</v>
      </c>
      <c r="G203" t="s">
        <v>875</v>
      </c>
      <c r="H203" t="s">
        <v>46</v>
      </c>
      <c r="I203" t="s">
        <v>876</v>
      </c>
      <c r="J203" t="s">
        <v>70</v>
      </c>
      <c r="K203" t="s">
        <v>29</v>
      </c>
      <c r="L203">
        <v>4</v>
      </c>
      <c r="M203">
        <v>1858.76</v>
      </c>
      <c r="N203" t="s">
        <v>875</v>
      </c>
      <c r="O203" t="s">
        <v>877</v>
      </c>
      <c r="P203" t="s">
        <v>31</v>
      </c>
      <c r="Q203">
        <v>10.5</v>
      </c>
      <c r="R203">
        <v>6.2</v>
      </c>
      <c r="S203">
        <v>5</v>
      </c>
      <c r="T203">
        <v>5.2</v>
      </c>
    </row>
    <row r="204" spans="1:20" x14ac:dyDescent="0.3">
      <c r="A204" t="s">
        <v>873</v>
      </c>
      <c r="B204" t="s">
        <v>874</v>
      </c>
      <c r="C204" t="s">
        <v>51</v>
      </c>
      <c r="D204" t="s">
        <v>43</v>
      </c>
      <c r="E204" t="s">
        <v>44</v>
      </c>
      <c r="F204">
        <v>80</v>
      </c>
      <c r="G204" t="s">
        <v>875</v>
      </c>
      <c r="H204" t="s">
        <v>46</v>
      </c>
      <c r="I204" t="s">
        <v>878</v>
      </c>
      <c r="J204" t="s">
        <v>70</v>
      </c>
      <c r="K204" t="s">
        <v>48</v>
      </c>
      <c r="L204">
        <v>6</v>
      </c>
      <c r="M204">
        <v>2098.6</v>
      </c>
      <c r="N204" t="s">
        <v>879</v>
      </c>
      <c r="O204" t="s">
        <v>880</v>
      </c>
      <c r="P204" t="s">
        <v>31</v>
      </c>
      <c r="Q204">
        <v>10.5</v>
      </c>
      <c r="R204">
        <v>6.2</v>
      </c>
      <c r="S204">
        <v>5</v>
      </c>
      <c r="T204">
        <v>5.2</v>
      </c>
    </row>
    <row r="205" spans="1:20" x14ac:dyDescent="0.3">
      <c r="A205" t="s">
        <v>881</v>
      </c>
      <c r="B205" t="s">
        <v>882</v>
      </c>
      <c r="C205" t="s">
        <v>34</v>
      </c>
      <c r="D205" t="s">
        <v>43</v>
      </c>
      <c r="E205" t="s">
        <v>78</v>
      </c>
      <c r="F205">
        <v>80</v>
      </c>
      <c r="G205" t="s">
        <v>883</v>
      </c>
      <c r="H205" t="s">
        <v>38</v>
      </c>
      <c r="I205" t="s">
        <v>884</v>
      </c>
      <c r="J205" t="s">
        <v>70</v>
      </c>
      <c r="K205" t="s">
        <v>48</v>
      </c>
      <c r="L205">
        <v>10</v>
      </c>
      <c r="M205">
        <v>2578.2800000000002</v>
      </c>
      <c r="N205" t="s">
        <v>883</v>
      </c>
      <c r="P205" t="s">
        <v>40</v>
      </c>
      <c r="Q205">
        <v>11.2</v>
      </c>
      <c r="R205">
        <v>6</v>
      </c>
      <c r="S205">
        <v>5</v>
      </c>
      <c r="T205">
        <v>5.2</v>
      </c>
    </row>
    <row r="206" spans="1:20" x14ac:dyDescent="0.3">
      <c r="A206" t="s">
        <v>885</v>
      </c>
      <c r="B206" t="s">
        <v>886</v>
      </c>
      <c r="C206" t="s">
        <v>34</v>
      </c>
      <c r="D206" t="s">
        <v>23</v>
      </c>
      <c r="E206" t="s">
        <v>24</v>
      </c>
      <c r="F206">
        <v>80</v>
      </c>
      <c r="G206" t="s">
        <v>887</v>
      </c>
      <c r="H206" t="s">
        <v>38</v>
      </c>
      <c r="I206" t="s">
        <v>888</v>
      </c>
      <c r="J206" t="s">
        <v>56</v>
      </c>
      <c r="K206" t="s">
        <v>29</v>
      </c>
      <c r="L206">
        <v>14</v>
      </c>
      <c r="M206">
        <v>99.96</v>
      </c>
      <c r="N206" t="s">
        <v>887</v>
      </c>
      <c r="O206" t="s">
        <v>207</v>
      </c>
      <c r="P206" t="s">
        <v>31</v>
      </c>
      <c r="Q206">
        <v>1.5</v>
      </c>
      <c r="R206">
        <v>0.5</v>
      </c>
      <c r="S206">
        <v>3</v>
      </c>
      <c r="T206">
        <v>7.333333333333333</v>
      </c>
    </row>
    <row r="207" spans="1:20" x14ac:dyDescent="0.3">
      <c r="A207" t="s">
        <v>889</v>
      </c>
      <c r="B207" t="s">
        <v>890</v>
      </c>
      <c r="C207" t="s">
        <v>82</v>
      </c>
      <c r="D207" t="s">
        <v>138</v>
      </c>
      <c r="E207" t="s">
        <v>138</v>
      </c>
      <c r="F207">
        <v>35</v>
      </c>
      <c r="G207" t="s">
        <v>891</v>
      </c>
      <c r="H207" t="s">
        <v>38</v>
      </c>
      <c r="I207" t="s">
        <v>892</v>
      </c>
      <c r="J207" t="s">
        <v>56</v>
      </c>
      <c r="K207" t="s">
        <v>48</v>
      </c>
      <c r="L207">
        <v>11</v>
      </c>
      <c r="M207">
        <v>88.2</v>
      </c>
      <c r="N207" t="s">
        <v>891</v>
      </c>
      <c r="P207" t="s">
        <v>40</v>
      </c>
      <c r="Q207">
        <v>9.5555555555555554</v>
      </c>
      <c r="R207">
        <v>5.4444444444444446</v>
      </c>
      <c r="S207">
        <v>6</v>
      </c>
      <c r="T207">
        <v>5.333333333333333</v>
      </c>
    </row>
    <row r="208" spans="1:20" x14ac:dyDescent="0.3">
      <c r="A208" t="s">
        <v>893</v>
      </c>
      <c r="B208" t="s">
        <v>894</v>
      </c>
      <c r="C208" t="s">
        <v>34</v>
      </c>
      <c r="D208" t="s">
        <v>23</v>
      </c>
      <c r="E208" t="s">
        <v>24</v>
      </c>
      <c r="F208">
        <v>12</v>
      </c>
      <c r="G208" t="s">
        <v>895</v>
      </c>
      <c r="H208" t="s">
        <v>26</v>
      </c>
      <c r="I208" t="s">
        <v>896</v>
      </c>
      <c r="J208" t="s">
        <v>70</v>
      </c>
      <c r="K208" t="s">
        <v>29</v>
      </c>
      <c r="L208">
        <v>7</v>
      </c>
      <c r="M208">
        <v>2218.52</v>
      </c>
      <c r="N208" t="s">
        <v>895</v>
      </c>
      <c r="P208" t="s">
        <v>40</v>
      </c>
      <c r="Q208">
        <v>17.952380952380949</v>
      </c>
      <c r="R208">
        <v>8.5238095238095237</v>
      </c>
      <c r="S208">
        <v>6</v>
      </c>
      <c r="T208">
        <v>6.5</v>
      </c>
    </row>
    <row r="209" spans="1:20" x14ac:dyDescent="0.3">
      <c r="A209" t="s">
        <v>897</v>
      </c>
      <c r="B209" t="s">
        <v>263</v>
      </c>
      <c r="C209" t="s">
        <v>82</v>
      </c>
      <c r="D209" t="s">
        <v>23</v>
      </c>
      <c r="E209" t="s">
        <v>87</v>
      </c>
      <c r="F209">
        <v>80</v>
      </c>
      <c r="G209" t="s">
        <v>301</v>
      </c>
      <c r="H209" t="s">
        <v>26</v>
      </c>
      <c r="I209" t="s">
        <v>898</v>
      </c>
      <c r="J209" t="s">
        <v>28</v>
      </c>
      <c r="K209" t="s">
        <v>48</v>
      </c>
      <c r="L209">
        <v>6</v>
      </c>
      <c r="M209">
        <v>278.60000000000002</v>
      </c>
      <c r="N209" t="s">
        <v>301</v>
      </c>
      <c r="P209" t="s">
        <v>40</v>
      </c>
      <c r="Q209">
        <v>2.4</v>
      </c>
      <c r="R209">
        <v>1</v>
      </c>
      <c r="S209">
        <v>1</v>
      </c>
      <c r="T209">
        <v>5</v>
      </c>
    </row>
    <row r="210" spans="1:20" x14ac:dyDescent="0.3">
      <c r="A210" t="s">
        <v>899</v>
      </c>
      <c r="B210" t="s">
        <v>900</v>
      </c>
      <c r="C210" t="s">
        <v>111</v>
      </c>
      <c r="D210" t="s">
        <v>23</v>
      </c>
      <c r="E210" t="s">
        <v>73</v>
      </c>
      <c r="F210">
        <v>80</v>
      </c>
      <c r="G210" t="s">
        <v>901</v>
      </c>
      <c r="H210" t="s">
        <v>54</v>
      </c>
      <c r="I210" t="s">
        <v>902</v>
      </c>
      <c r="J210" t="s">
        <v>56</v>
      </c>
      <c r="K210" t="s">
        <v>48</v>
      </c>
      <c r="L210">
        <v>4</v>
      </c>
      <c r="M210">
        <v>60.76</v>
      </c>
      <c r="N210" t="s">
        <v>901</v>
      </c>
      <c r="P210" t="s">
        <v>40</v>
      </c>
      <c r="Q210">
        <v>10.5</v>
      </c>
      <c r="R210">
        <v>3.5</v>
      </c>
      <c r="S210">
        <v>3</v>
      </c>
      <c r="T210">
        <v>4.666666666666667</v>
      </c>
    </row>
    <row r="211" spans="1:20" x14ac:dyDescent="0.3">
      <c r="A211" t="s">
        <v>903</v>
      </c>
      <c r="B211" t="s">
        <v>904</v>
      </c>
      <c r="C211" t="s">
        <v>67</v>
      </c>
      <c r="D211" t="s">
        <v>23</v>
      </c>
      <c r="E211" t="s">
        <v>73</v>
      </c>
      <c r="F211">
        <v>400</v>
      </c>
      <c r="G211" t="s">
        <v>905</v>
      </c>
      <c r="H211" t="s">
        <v>46</v>
      </c>
      <c r="I211" t="s">
        <v>906</v>
      </c>
      <c r="J211" t="s">
        <v>70</v>
      </c>
      <c r="K211" t="s">
        <v>29</v>
      </c>
      <c r="L211">
        <v>4</v>
      </c>
      <c r="M211">
        <v>1858.76</v>
      </c>
      <c r="N211" t="s">
        <v>905</v>
      </c>
      <c r="P211" t="s">
        <v>40</v>
      </c>
      <c r="Q211">
        <v>20</v>
      </c>
      <c r="R211">
        <v>9</v>
      </c>
      <c r="S211">
        <v>4</v>
      </c>
      <c r="T211">
        <v>5.5</v>
      </c>
    </row>
    <row r="212" spans="1:20" x14ac:dyDescent="0.3">
      <c r="A212" t="s">
        <v>907</v>
      </c>
      <c r="B212" t="s">
        <v>908</v>
      </c>
      <c r="C212" t="s">
        <v>34</v>
      </c>
      <c r="D212" t="s">
        <v>23</v>
      </c>
      <c r="E212" t="s">
        <v>87</v>
      </c>
      <c r="F212">
        <v>35</v>
      </c>
      <c r="G212" t="s">
        <v>909</v>
      </c>
      <c r="H212" t="s">
        <v>46</v>
      </c>
      <c r="I212" t="s">
        <v>910</v>
      </c>
      <c r="J212" t="s">
        <v>63</v>
      </c>
      <c r="K212" t="s">
        <v>48</v>
      </c>
      <c r="L212">
        <v>9</v>
      </c>
      <c r="M212">
        <v>818.36</v>
      </c>
      <c r="N212" t="s">
        <v>909</v>
      </c>
      <c r="O212" t="s">
        <v>911</v>
      </c>
      <c r="P212" t="s">
        <v>31</v>
      </c>
      <c r="Q212">
        <v>18</v>
      </c>
      <c r="R212">
        <v>6</v>
      </c>
      <c r="S212">
        <v>1</v>
      </c>
      <c r="T212">
        <v>5</v>
      </c>
    </row>
    <row r="213" spans="1:20" x14ac:dyDescent="0.3">
      <c r="A213" t="s">
        <v>907</v>
      </c>
      <c r="B213" t="s">
        <v>908</v>
      </c>
      <c r="C213" t="s">
        <v>34</v>
      </c>
      <c r="D213" t="s">
        <v>23</v>
      </c>
      <c r="E213" t="s">
        <v>87</v>
      </c>
      <c r="F213">
        <v>35</v>
      </c>
      <c r="G213" t="s">
        <v>909</v>
      </c>
      <c r="H213" t="s">
        <v>46</v>
      </c>
      <c r="I213" t="s">
        <v>912</v>
      </c>
      <c r="J213" t="s">
        <v>28</v>
      </c>
      <c r="K213" t="s">
        <v>29</v>
      </c>
      <c r="L213">
        <v>7</v>
      </c>
      <c r="M213">
        <v>294.52</v>
      </c>
      <c r="N213" t="s">
        <v>913</v>
      </c>
      <c r="O213" t="s">
        <v>914</v>
      </c>
      <c r="P213" t="s">
        <v>31</v>
      </c>
      <c r="Q213">
        <v>18</v>
      </c>
      <c r="R213">
        <v>6</v>
      </c>
      <c r="S213">
        <v>1</v>
      </c>
      <c r="T213">
        <v>5</v>
      </c>
    </row>
    <row r="214" spans="1:20" x14ac:dyDescent="0.3">
      <c r="A214" t="s">
        <v>915</v>
      </c>
      <c r="B214" t="s">
        <v>916</v>
      </c>
      <c r="C214" t="s">
        <v>82</v>
      </c>
      <c r="D214" t="s">
        <v>127</v>
      </c>
      <c r="E214" t="s">
        <v>128</v>
      </c>
      <c r="F214">
        <v>1200</v>
      </c>
      <c r="G214" t="s">
        <v>917</v>
      </c>
      <c r="H214" t="s">
        <v>46</v>
      </c>
      <c r="I214" t="s">
        <v>918</v>
      </c>
      <c r="J214" t="s">
        <v>63</v>
      </c>
      <c r="K214" t="s">
        <v>29</v>
      </c>
      <c r="L214">
        <v>10</v>
      </c>
      <c r="M214">
        <v>858.28</v>
      </c>
      <c r="N214" t="s">
        <v>917</v>
      </c>
      <c r="P214" t="s">
        <v>40</v>
      </c>
      <c r="Q214">
        <v>12</v>
      </c>
      <c r="R214">
        <v>7.333333333333333</v>
      </c>
      <c r="S214">
        <v>2</v>
      </c>
      <c r="T214">
        <v>7</v>
      </c>
    </row>
    <row r="215" spans="1:20" x14ac:dyDescent="0.3">
      <c r="A215" t="s">
        <v>919</v>
      </c>
      <c r="B215" t="s">
        <v>920</v>
      </c>
      <c r="C215" t="s">
        <v>67</v>
      </c>
      <c r="D215" t="s">
        <v>23</v>
      </c>
      <c r="E215" t="s">
        <v>160</v>
      </c>
      <c r="F215">
        <v>12</v>
      </c>
      <c r="G215" t="s">
        <v>523</v>
      </c>
      <c r="H215" t="s">
        <v>26</v>
      </c>
      <c r="I215" t="s">
        <v>921</v>
      </c>
      <c r="J215" t="s">
        <v>70</v>
      </c>
      <c r="K215" t="s">
        <v>29</v>
      </c>
      <c r="L215">
        <v>8</v>
      </c>
      <c r="M215">
        <v>2338.44</v>
      </c>
      <c r="N215" t="s">
        <v>523</v>
      </c>
      <c r="P215" t="s">
        <v>40</v>
      </c>
      <c r="Q215">
        <v>14.47826086956522</v>
      </c>
      <c r="R215">
        <v>8.7826086956521738</v>
      </c>
      <c r="S215">
        <v>3</v>
      </c>
      <c r="T215">
        <v>5.666666666666667</v>
      </c>
    </row>
    <row r="216" spans="1:20" x14ac:dyDescent="0.3">
      <c r="A216" t="s">
        <v>922</v>
      </c>
      <c r="B216" t="s">
        <v>923</v>
      </c>
      <c r="C216" t="s">
        <v>97</v>
      </c>
      <c r="D216" t="s">
        <v>127</v>
      </c>
      <c r="E216" t="s">
        <v>128</v>
      </c>
      <c r="F216">
        <v>1200</v>
      </c>
      <c r="G216" t="s">
        <v>924</v>
      </c>
      <c r="H216" t="s">
        <v>26</v>
      </c>
      <c r="I216" t="s">
        <v>925</v>
      </c>
      <c r="J216" t="s">
        <v>63</v>
      </c>
      <c r="K216" t="s">
        <v>29</v>
      </c>
      <c r="L216">
        <v>8</v>
      </c>
      <c r="M216">
        <v>778.44</v>
      </c>
      <c r="N216" t="s">
        <v>924</v>
      </c>
      <c r="O216" t="s">
        <v>926</v>
      </c>
      <c r="P216" t="s">
        <v>31</v>
      </c>
      <c r="Q216">
        <v>7.25</v>
      </c>
      <c r="R216">
        <v>3.916666666666667</v>
      </c>
      <c r="S216">
        <v>1</v>
      </c>
      <c r="T216">
        <v>6</v>
      </c>
    </row>
    <row r="217" spans="1:20" x14ac:dyDescent="0.3">
      <c r="A217" t="s">
        <v>927</v>
      </c>
      <c r="B217" t="s">
        <v>928</v>
      </c>
      <c r="C217" t="s">
        <v>59</v>
      </c>
      <c r="D217" t="s">
        <v>23</v>
      </c>
      <c r="E217" t="s">
        <v>160</v>
      </c>
      <c r="F217">
        <v>400</v>
      </c>
      <c r="G217" t="s">
        <v>426</v>
      </c>
      <c r="H217" t="s">
        <v>26</v>
      </c>
      <c r="I217" t="s">
        <v>929</v>
      </c>
      <c r="J217" t="s">
        <v>63</v>
      </c>
      <c r="K217" t="s">
        <v>48</v>
      </c>
      <c r="L217">
        <v>7</v>
      </c>
      <c r="M217">
        <v>738.52</v>
      </c>
      <c r="N217" t="s">
        <v>426</v>
      </c>
      <c r="P217" t="s">
        <v>40</v>
      </c>
      <c r="Q217">
        <v>16.61904761904762</v>
      </c>
      <c r="R217">
        <v>9.4761904761904763</v>
      </c>
      <c r="S217">
        <v>9</v>
      </c>
      <c r="T217">
        <v>5.666666666666667</v>
      </c>
    </row>
    <row r="218" spans="1:20" x14ac:dyDescent="0.3">
      <c r="A218" t="s">
        <v>930</v>
      </c>
      <c r="B218" t="s">
        <v>931</v>
      </c>
      <c r="C218" t="s">
        <v>67</v>
      </c>
      <c r="D218" t="s">
        <v>138</v>
      </c>
      <c r="E218" t="s">
        <v>138</v>
      </c>
      <c r="F218">
        <v>80</v>
      </c>
      <c r="G218" t="s">
        <v>932</v>
      </c>
      <c r="H218" t="s">
        <v>46</v>
      </c>
      <c r="I218" t="s">
        <v>933</v>
      </c>
      <c r="J218" t="s">
        <v>28</v>
      </c>
      <c r="K218" t="s">
        <v>29</v>
      </c>
      <c r="L218">
        <v>8</v>
      </c>
      <c r="M218">
        <v>310.44</v>
      </c>
      <c r="N218" t="s">
        <v>932</v>
      </c>
      <c r="P218" t="s">
        <v>40</v>
      </c>
      <c r="Q218">
        <v>17.761904761904759</v>
      </c>
      <c r="R218">
        <v>8.8571428571428577</v>
      </c>
      <c r="S218">
        <v>3</v>
      </c>
      <c r="T218">
        <v>5</v>
      </c>
    </row>
    <row r="219" spans="1:20" x14ac:dyDescent="0.3">
      <c r="A219" t="s">
        <v>934</v>
      </c>
      <c r="B219" t="s">
        <v>413</v>
      </c>
      <c r="C219" t="s">
        <v>97</v>
      </c>
      <c r="D219" t="s">
        <v>23</v>
      </c>
      <c r="E219" t="s">
        <v>117</v>
      </c>
      <c r="F219">
        <v>150</v>
      </c>
      <c r="G219" t="s">
        <v>935</v>
      </c>
      <c r="H219" t="s">
        <v>46</v>
      </c>
      <c r="I219" t="s">
        <v>936</v>
      </c>
      <c r="J219" t="s">
        <v>56</v>
      </c>
      <c r="K219" t="s">
        <v>29</v>
      </c>
      <c r="L219">
        <v>4</v>
      </c>
      <c r="M219">
        <v>60.76</v>
      </c>
      <c r="N219" t="s">
        <v>935</v>
      </c>
      <c r="O219" t="s">
        <v>784</v>
      </c>
      <c r="P219" t="s">
        <v>31</v>
      </c>
      <c r="Q219">
        <v>1.75</v>
      </c>
      <c r="R219">
        <v>1</v>
      </c>
      <c r="S219">
        <v>2</v>
      </c>
      <c r="T219">
        <v>5.5</v>
      </c>
    </row>
    <row r="220" spans="1:20" x14ac:dyDescent="0.3">
      <c r="A220" t="s">
        <v>937</v>
      </c>
      <c r="B220" t="s">
        <v>938</v>
      </c>
      <c r="C220" t="s">
        <v>111</v>
      </c>
      <c r="D220" t="s">
        <v>127</v>
      </c>
      <c r="E220" t="s">
        <v>128</v>
      </c>
      <c r="F220">
        <v>12</v>
      </c>
      <c r="G220" t="s">
        <v>939</v>
      </c>
      <c r="H220" t="s">
        <v>46</v>
      </c>
      <c r="I220" t="s">
        <v>940</v>
      </c>
      <c r="J220" t="s">
        <v>63</v>
      </c>
      <c r="K220" t="s">
        <v>48</v>
      </c>
      <c r="L220">
        <v>5</v>
      </c>
      <c r="M220">
        <v>658.68</v>
      </c>
      <c r="N220" t="s">
        <v>939</v>
      </c>
      <c r="O220" t="s">
        <v>941</v>
      </c>
      <c r="P220" t="s">
        <v>31</v>
      </c>
      <c r="Q220">
        <v>5</v>
      </c>
      <c r="R220">
        <v>2.5</v>
      </c>
      <c r="S220">
        <v>1</v>
      </c>
      <c r="T220">
        <v>7</v>
      </c>
    </row>
    <row r="221" spans="1:20" x14ac:dyDescent="0.3">
      <c r="A221" t="s">
        <v>942</v>
      </c>
      <c r="B221" t="s">
        <v>943</v>
      </c>
      <c r="C221" t="s">
        <v>97</v>
      </c>
      <c r="D221" t="s">
        <v>23</v>
      </c>
      <c r="E221" t="s">
        <v>73</v>
      </c>
      <c r="F221">
        <v>1200</v>
      </c>
      <c r="G221" t="s">
        <v>60</v>
      </c>
      <c r="H221" t="s">
        <v>99</v>
      </c>
      <c r="I221" t="s">
        <v>944</v>
      </c>
      <c r="J221" t="s">
        <v>56</v>
      </c>
      <c r="K221" t="s">
        <v>48</v>
      </c>
      <c r="L221">
        <v>3</v>
      </c>
      <c r="M221">
        <v>56.84</v>
      </c>
      <c r="N221" t="s">
        <v>60</v>
      </c>
      <c r="O221" t="s">
        <v>945</v>
      </c>
      <c r="P221" t="s">
        <v>31</v>
      </c>
      <c r="Q221">
        <v>4.5</v>
      </c>
      <c r="R221">
        <v>2.25</v>
      </c>
      <c r="S221">
        <v>3</v>
      </c>
      <c r="T221">
        <v>5</v>
      </c>
    </row>
    <row r="222" spans="1:20" x14ac:dyDescent="0.3">
      <c r="A222" t="s">
        <v>946</v>
      </c>
      <c r="B222" t="s">
        <v>947</v>
      </c>
      <c r="C222" t="s">
        <v>51</v>
      </c>
      <c r="D222" t="s">
        <v>23</v>
      </c>
      <c r="E222" t="s">
        <v>117</v>
      </c>
      <c r="F222">
        <v>1200</v>
      </c>
      <c r="G222" t="s">
        <v>948</v>
      </c>
      <c r="H222" t="s">
        <v>99</v>
      </c>
      <c r="I222" t="s">
        <v>949</v>
      </c>
      <c r="J222" t="s">
        <v>28</v>
      </c>
      <c r="K222" t="s">
        <v>48</v>
      </c>
      <c r="L222">
        <v>7</v>
      </c>
      <c r="M222">
        <v>294.52</v>
      </c>
      <c r="N222" t="s">
        <v>948</v>
      </c>
      <c r="P222" t="s">
        <v>40</v>
      </c>
      <c r="Q222">
        <v>17.333333333333329</v>
      </c>
      <c r="R222">
        <v>8.3333333333333339</v>
      </c>
      <c r="S222">
        <v>1</v>
      </c>
      <c r="T222">
        <v>5</v>
      </c>
    </row>
    <row r="223" spans="1:20" x14ac:dyDescent="0.3">
      <c r="A223" t="s">
        <v>950</v>
      </c>
      <c r="B223" t="s">
        <v>951</v>
      </c>
      <c r="C223" t="s">
        <v>51</v>
      </c>
      <c r="D223" t="s">
        <v>23</v>
      </c>
      <c r="E223" t="s">
        <v>117</v>
      </c>
      <c r="F223">
        <v>80</v>
      </c>
      <c r="G223" t="s">
        <v>952</v>
      </c>
      <c r="H223" t="s">
        <v>99</v>
      </c>
      <c r="I223" t="s">
        <v>953</v>
      </c>
      <c r="J223" t="s">
        <v>63</v>
      </c>
      <c r="K223" t="s">
        <v>29</v>
      </c>
      <c r="L223">
        <v>2</v>
      </c>
      <c r="M223">
        <v>538.91999999999996</v>
      </c>
      <c r="N223" t="s">
        <v>952</v>
      </c>
      <c r="P223" t="s">
        <v>40</v>
      </c>
      <c r="Q223">
        <v>9.7368421052631575</v>
      </c>
      <c r="R223">
        <v>5.5789473684210522</v>
      </c>
      <c r="S223">
        <v>4</v>
      </c>
      <c r="T223">
        <v>7.5</v>
      </c>
    </row>
    <row r="224" spans="1:20" x14ac:dyDescent="0.3">
      <c r="A224" t="s">
        <v>954</v>
      </c>
      <c r="B224" t="s">
        <v>955</v>
      </c>
      <c r="C224" t="s">
        <v>51</v>
      </c>
      <c r="D224" t="s">
        <v>23</v>
      </c>
      <c r="E224" t="s">
        <v>73</v>
      </c>
      <c r="F224">
        <v>12</v>
      </c>
      <c r="G224" t="s">
        <v>576</v>
      </c>
      <c r="H224" t="s">
        <v>99</v>
      </c>
      <c r="I224" t="s">
        <v>956</v>
      </c>
      <c r="J224" t="s">
        <v>28</v>
      </c>
      <c r="K224" t="s">
        <v>48</v>
      </c>
      <c r="L224">
        <v>2</v>
      </c>
      <c r="M224">
        <v>214.92</v>
      </c>
      <c r="N224" t="s">
        <v>576</v>
      </c>
      <c r="P224" t="s">
        <v>40</v>
      </c>
      <c r="Q224">
        <v>8.5</v>
      </c>
      <c r="R224">
        <v>6.5</v>
      </c>
      <c r="S224">
        <v>1</v>
      </c>
      <c r="T224">
        <v>6</v>
      </c>
    </row>
    <row r="225" spans="1:20" x14ac:dyDescent="0.3">
      <c r="A225" t="s">
        <v>957</v>
      </c>
      <c r="B225" t="s">
        <v>958</v>
      </c>
      <c r="C225" t="s">
        <v>59</v>
      </c>
      <c r="D225" t="s">
        <v>23</v>
      </c>
      <c r="E225" t="s">
        <v>87</v>
      </c>
      <c r="F225">
        <v>80</v>
      </c>
      <c r="G225" t="s">
        <v>447</v>
      </c>
      <c r="H225" t="s">
        <v>61</v>
      </c>
      <c r="I225" t="s">
        <v>959</v>
      </c>
      <c r="J225" t="s">
        <v>28</v>
      </c>
      <c r="K225" t="s">
        <v>29</v>
      </c>
      <c r="L225">
        <v>14</v>
      </c>
      <c r="M225">
        <v>405.96</v>
      </c>
      <c r="N225" t="s">
        <v>447</v>
      </c>
      <c r="P225" t="s">
        <v>40</v>
      </c>
      <c r="Q225">
        <v>15.5</v>
      </c>
      <c r="R225">
        <v>9.5</v>
      </c>
      <c r="S225">
        <v>6</v>
      </c>
      <c r="T225">
        <v>6.166666666666667</v>
      </c>
    </row>
    <row r="226" spans="1:20" x14ac:dyDescent="0.3">
      <c r="A226" t="s">
        <v>960</v>
      </c>
      <c r="B226" t="s">
        <v>961</v>
      </c>
      <c r="C226" t="s">
        <v>97</v>
      </c>
      <c r="D226" t="s">
        <v>35</v>
      </c>
      <c r="E226" t="s">
        <v>52</v>
      </c>
      <c r="F226">
        <v>12</v>
      </c>
      <c r="G226" t="s">
        <v>962</v>
      </c>
      <c r="H226" t="s">
        <v>46</v>
      </c>
      <c r="I226" t="s">
        <v>963</v>
      </c>
      <c r="J226" t="s">
        <v>56</v>
      </c>
      <c r="K226" t="s">
        <v>29</v>
      </c>
      <c r="L226">
        <v>4</v>
      </c>
      <c r="M226">
        <v>60.76</v>
      </c>
      <c r="N226" t="s">
        <v>962</v>
      </c>
      <c r="P226" t="s">
        <v>40</v>
      </c>
      <c r="Q226">
        <v>3.6</v>
      </c>
      <c r="R226">
        <v>1.2</v>
      </c>
      <c r="S226">
        <v>5</v>
      </c>
      <c r="T226">
        <v>5.2</v>
      </c>
    </row>
    <row r="227" spans="1:20" x14ac:dyDescent="0.3">
      <c r="A227" t="s">
        <v>964</v>
      </c>
      <c r="B227" t="s">
        <v>965</v>
      </c>
      <c r="C227" t="s">
        <v>67</v>
      </c>
      <c r="D227" t="s">
        <v>23</v>
      </c>
      <c r="E227" t="s">
        <v>112</v>
      </c>
      <c r="F227">
        <v>150</v>
      </c>
      <c r="G227" t="s">
        <v>966</v>
      </c>
      <c r="H227" t="s">
        <v>26</v>
      </c>
      <c r="I227" t="s">
        <v>967</v>
      </c>
      <c r="J227" t="s">
        <v>56</v>
      </c>
      <c r="K227" t="s">
        <v>48</v>
      </c>
      <c r="L227">
        <v>8</v>
      </c>
      <c r="M227">
        <v>76.44</v>
      </c>
      <c r="N227" t="s">
        <v>966</v>
      </c>
      <c r="P227" t="s">
        <v>40</v>
      </c>
      <c r="Q227">
        <v>5.4705882352941178</v>
      </c>
      <c r="R227">
        <v>2.8235294117647061</v>
      </c>
      <c r="S227">
        <v>3</v>
      </c>
      <c r="T227">
        <v>5.333333333333333</v>
      </c>
    </row>
    <row r="228" spans="1:20" x14ac:dyDescent="0.3">
      <c r="A228" t="s">
        <v>968</v>
      </c>
      <c r="B228" t="s">
        <v>969</v>
      </c>
      <c r="C228" t="s">
        <v>59</v>
      </c>
      <c r="D228" t="s">
        <v>23</v>
      </c>
      <c r="E228" t="s">
        <v>87</v>
      </c>
      <c r="F228">
        <v>35</v>
      </c>
      <c r="G228" t="s">
        <v>970</v>
      </c>
      <c r="H228" t="s">
        <v>26</v>
      </c>
      <c r="I228" t="s">
        <v>971</v>
      </c>
      <c r="J228" t="s">
        <v>70</v>
      </c>
      <c r="K228" t="s">
        <v>48</v>
      </c>
      <c r="L228">
        <v>4</v>
      </c>
      <c r="M228">
        <v>1858.76</v>
      </c>
      <c r="N228" t="s">
        <v>970</v>
      </c>
      <c r="O228" t="s">
        <v>972</v>
      </c>
      <c r="P228" t="s">
        <v>31</v>
      </c>
      <c r="Q228">
        <v>13.25</v>
      </c>
      <c r="R228">
        <v>7.916666666666667</v>
      </c>
      <c r="S228">
        <v>5</v>
      </c>
      <c r="T228">
        <v>5.2</v>
      </c>
    </row>
    <row r="229" spans="1:20" x14ac:dyDescent="0.3">
      <c r="A229" t="s">
        <v>973</v>
      </c>
      <c r="B229" t="s">
        <v>974</v>
      </c>
      <c r="C229" t="s">
        <v>82</v>
      </c>
      <c r="D229" t="s">
        <v>138</v>
      </c>
      <c r="E229" t="s">
        <v>138</v>
      </c>
      <c r="F229">
        <v>12</v>
      </c>
      <c r="G229" t="s">
        <v>975</v>
      </c>
      <c r="H229" t="s">
        <v>26</v>
      </c>
      <c r="I229" t="s">
        <v>976</v>
      </c>
      <c r="J229" t="s">
        <v>56</v>
      </c>
      <c r="K229" t="s">
        <v>48</v>
      </c>
      <c r="L229">
        <v>10</v>
      </c>
      <c r="M229">
        <v>84.28</v>
      </c>
      <c r="N229" t="s">
        <v>975</v>
      </c>
      <c r="P229" t="s">
        <v>40</v>
      </c>
      <c r="S229">
        <v>5</v>
      </c>
      <c r="T229">
        <v>5.8</v>
      </c>
    </row>
    <row r="230" spans="1:20" x14ac:dyDescent="0.3">
      <c r="A230" t="s">
        <v>977</v>
      </c>
      <c r="B230" t="s">
        <v>978</v>
      </c>
      <c r="C230" t="s">
        <v>97</v>
      </c>
      <c r="D230" t="s">
        <v>23</v>
      </c>
      <c r="E230" t="s">
        <v>87</v>
      </c>
      <c r="F230">
        <v>12</v>
      </c>
      <c r="G230" t="s">
        <v>970</v>
      </c>
      <c r="H230" t="s">
        <v>46</v>
      </c>
      <c r="I230" t="s">
        <v>979</v>
      </c>
      <c r="J230" t="s">
        <v>56</v>
      </c>
      <c r="K230" t="s">
        <v>48</v>
      </c>
      <c r="L230">
        <v>10</v>
      </c>
      <c r="M230">
        <v>84.28</v>
      </c>
      <c r="N230" t="s">
        <v>970</v>
      </c>
      <c r="O230" t="s">
        <v>980</v>
      </c>
      <c r="P230" t="s">
        <v>31</v>
      </c>
      <c r="Q230">
        <v>7.35</v>
      </c>
      <c r="R230">
        <v>4</v>
      </c>
      <c r="S230">
        <v>2</v>
      </c>
      <c r="T230">
        <v>7</v>
      </c>
    </row>
    <row r="231" spans="1:20" x14ac:dyDescent="0.3">
      <c r="A231" t="s">
        <v>977</v>
      </c>
      <c r="B231" t="s">
        <v>978</v>
      </c>
      <c r="C231" t="s">
        <v>97</v>
      </c>
      <c r="D231" t="s">
        <v>23</v>
      </c>
      <c r="E231" t="s">
        <v>87</v>
      </c>
      <c r="F231">
        <v>12</v>
      </c>
      <c r="G231" t="s">
        <v>970</v>
      </c>
      <c r="H231" t="s">
        <v>46</v>
      </c>
      <c r="I231" t="s">
        <v>981</v>
      </c>
      <c r="J231" t="s">
        <v>56</v>
      </c>
      <c r="K231" t="s">
        <v>29</v>
      </c>
      <c r="L231">
        <v>8</v>
      </c>
      <c r="M231">
        <v>76.44</v>
      </c>
      <c r="N231" t="s">
        <v>935</v>
      </c>
      <c r="P231" t="s">
        <v>40</v>
      </c>
      <c r="Q231">
        <v>7.35</v>
      </c>
      <c r="R231">
        <v>4</v>
      </c>
      <c r="S231">
        <v>2</v>
      </c>
      <c r="T231">
        <v>7</v>
      </c>
    </row>
    <row r="232" spans="1:20" x14ac:dyDescent="0.3">
      <c r="A232" t="s">
        <v>982</v>
      </c>
      <c r="B232" t="s">
        <v>983</v>
      </c>
      <c r="C232" t="s">
        <v>59</v>
      </c>
      <c r="D232" t="s">
        <v>43</v>
      </c>
      <c r="E232" t="s">
        <v>78</v>
      </c>
      <c r="F232">
        <v>12</v>
      </c>
      <c r="G232" t="s">
        <v>984</v>
      </c>
      <c r="H232" t="s">
        <v>61</v>
      </c>
      <c r="I232" t="s">
        <v>985</v>
      </c>
      <c r="J232" t="s">
        <v>63</v>
      </c>
      <c r="K232" t="s">
        <v>29</v>
      </c>
      <c r="L232">
        <v>5</v>
      </c>
      <c r="M232">
        <v>658.68</v>
      </c>
      <c r="N232" t="s">
        <v>984</v>
      </c>
      <c r="P232" t="s">
        <v>40</v>
      </c>
      <c r="Q232">
        <v>11.34782608695652</v>
      </c>
      <c r="R232">
        <v>6.4782608695652177</v>
      </c>
      <c r="S232">
        <v>5</v>
      </c>
      <c r="T232">
        <v>4.5999999999999996</v>
      </c>
    </row>
    <row r="233" spans="1:20" x14ac:dyDescent="0.3">
      <c r="A233" t="s">
        <v>986</v>
      </c>
      <c r="B233" t="s">
        <v>987</v>
      </c>
      <c r="C233" t="s">
        <v>82</v>
      </c>
      <c r="D233" t="s">
        <v>23</v>
      </c>
      <c r="E233" t="s">
        <v>117</v>
      </c>
      <c r="F233">
        <v>150</v>
      </c>
      <c r="G233" t="s">
        <v>988</v>
      </c>
      <c r="H233" t="s">
        <v>22</v>
      </c>
      <c r="I233" t="s">
        <v>989</v>
      </c>
      <c r="J233" t="s">
        <v>56</v>
      </c>
      <c r="K233" t="s">
        <v>48</v>
      </c>
      <c r="L233">
        <v>9</v>
      </c>
      <c r="M233">
        <v>80.36</v>
      </c>
      <c r="N233" t="s">
        <v>988</v>
      </c>
      <c r="O233" t="s">
        <v>990</v>
      </c>
      <c r="P233" t="s">
        <v>31</v>
      </c>
      <c r="Q233">
        <v>6.75</v>
      </c>
      <c r="R233">
        <v>3.5</v>
      </c>
      <c r="S233">
        <v>3</v>
      </c>
      <c r="T233">
        <v>6.333333333333333</v>
      </c>
    </row>
    <row r="234" spans="1:20" x14ac:dyDescent="0.3">
      <c r="A234" t="s">
        <v>991</v>
      </c>
      <c r="B234" t="s">
        <v>992</v>
      </c>
      <c r="C234" t="s">
        <v>34</v>
      </c>
      <c r="D234" t="s">
        <v>35</v>
      </c>
      <c r="E234" t="s">
        <v>52</v>
      </c>
      <c r="F234">
        <v>80</v>
      </c>
      <c r="G234" t="s">
        <v>993</v>
      </c>
      <c r="H234" t="s">
        <v>61</v>
      </c>
      <c r="I234" t="s">
        <v>994</v>
      </c>
      <c r="J234" t="s">
        <v>63</v>
      </c>
      <c r="K234" t="s">
        <v>29</v>
      </c>
      <c r="L234">
        <v>9</v>
      </c>
      <c r="M234">
        <v>818.36</v>
      </c>
      <c r="N234" t="s">
        <v>993</v>
      </c>
      <c r="P234" t="s">
        <v>40</v>
      </c>
      <c r="Q234">
        <v>13.25</v>
      </c>
      <c r="R234">
        <v>8.75</v>
      </c>
      <c r="S234">
        <v>4</v>
      </c>
      <c r="T234">
        <v>4.75</v>
      </c>
    </row>
    <row r="235" spans="1:20" x14ac:dyDescent="0.3">
      <c r="A235" t="s">
        <v>995</v>
      </c>
      <c r="B235" t="s">
        <v>996</v>
      </c>
      <c r="C235" t="s">
        <v>82</v>
      </c>
      <c r="D235" t="s">
        <v>127</v>
      </c>
      <c r="E235" t="s">
        <v>245</v>
      </c>
      <c r="F235">
        <v>12</v>
      </c>
      <c r="G235" t="s">
        <v>997</v>
      </c>
      <c r="H235" t="s">
        <v>26</v>
      </c>
      <c r="I235" t="s">
        <v>998</v>
      </c>
      <c r="J235" t="s">
        <v>28</v>
      </c>
      <c r="K235" t="s">
        <v>48</v>
      </c>
      <c r="L235">
        <v>6</v>
      </c>
      <c r="M235">
        <v>278.60000000000002</v>
      </c>
      <c r="N235" t="s">
        <v>997</v>
      </c>
      <c r="P235" t="s">
        <v>40</v>
      </c>
      <c r="Q235">
        <v>19.8</v>
      </c>
      <c r="R235">
        <v>12.2</v>
      </c>
      <c r="S235">
        <v>2</v>
      </c>
      <c r="T235">
        <v>7.5</v>
      </c>
    </row>
    <row r="236" spans="1:20" x14ac:dyDescent="0.3">
      <c r="A236" t="s">
        <v>999</v>
      </c>
      <c r="B236" t="s">
        <v>1000</v>
      </c>
      <c r="C236" t="s">
        <v>67</v>
      </c>
      <c r="D236" t="s">
        <v>23</v>
      </c>
      <c r="E236" t="s">
        <v>24</v>
      </c>
      <c r="F236">
        <v>12</v>
      </c>
      <c r="G236" t="s">
        <v>1001</v>
      </c>
      <c r="H236" t="s">
        <v>26</v>
      </c>
      <c r="I236" t="s">
        <v>1002</v>
      </c>
      <c r="J236" t="s">
        <v>63</v>
      </c>
      <c r="K236" t="s">
        <v>48</v>
      </c>
      <c r="L236">
        <v>11</v>
      </c>
      <c r="M236">
        <v>898.2</v>
      </c>
      <c r="N236" t="s">
        <v>1001</v>
      </c>
      <c r="P236" t="s">
        <v>40</v>
      </c>
      <c r="Q236">
        <v>4</v>
      </c>
      <c r="R236">
        <v>1.9090909090909089</v>
      </c>
    </row>
    <row r="237" spans="1:20" x14ac:dyDescent="0.3">
      <c r="A237" t="s">
        <v>1003</v>
      </c>
      <c r="B237" t="s">
        <v>1004</v>
      </c>
      <c r="C237" t="s">
        <v>59</v>
      </c>
      <c r="D237" t="s">
        <v>23</v>
      </c>
      <c r="E237" t="s">
        <v>24</v>
      </c>
      <c r="F237">
        <v>150</v>
      </c>
      <c r="G237" t="s">
        <v>813</v>
      </c>
      <c r="H237" t="s">
        <v>38</v>
      </c>
      <c r="I237" t="s">
        <v>1005</v>
      </c>
      <c r="J237" t="s">
        <v>56</v>
      </c>
      <c r="K237" t="s">
        <v>29</v>
      </c>
      <c r="L237">
        <v>5</v>
      </c>
      <c r="M237">
        <v>64.680000000000007</v>
      </c>
      <c r="N237" t="s">
        <v>813</v>
      </c>
      <c r="O237" t="s">
        <v>1006</v>
      </c>
      <c r="P237" t="s">
        <v>31</v>
      </c>
      <c r="Q237">
        <v>10.058823529411759</v>
      </c>
      <c r="R237">
        <v>6.117647058823529</v>
      </c>
      <c r="S237">
        <v>4</v>
      </c>
      <c r="T237">
        <v>6.25</v>
      </c>
    </row>
    <row r="238" spans="1:20" x14ac:dyDescent="0.3">
      <c r="A238" t="s">
        <v>1003</v>
      </c>
      <c r="B238" t="s">
        <v>1004</v>
      </c>
      <c r="C238" t="s">
        <v>59</v>
      </c>
      <c r="D238" t="s">
        <v>23</v>
      </c>
      <c r="E238" t="s">
        <v>24</v>
      </c>
      <c r="F238">
        <v>150</v>
      </c>
      <c r="G238" t="s">
        <v>813</v>
      </c>
      <c r="H238" t="s">
        <v>38</v>
      </c>
      <c r="I238" t="s">
        <v>1007</v>
      </c>
      <c r="J238" t="s">
        <v>56</v>
      </c>
      <c r="K238" t="s">
        <v>29</v>
      </c>
      <c r="L238">
        <v>5</v>
      </c>
      <c r="M238">
        <v>64.680000000000007</v>
      </c>
      <c r="N238" t="s">
        <v>295</v>
      </c>
      <c r="P238" t="s">
        <v>40</v>
      </c>
      <c r="Q238">
        <v>10.058823529411759</v>
      </c>
      <c r="R238">
        <v>6.117647058823529</v>
      </c>
      <c r="S238">
        <v>4</v>
      </c>
      <c r="T238">
        <v>6.25</v>
      </c>
    </row>
    <row r="239" spans="1:20" x14ac:dyDescent="0.3">
      <c r="A239" t="s">
        <v>1008</v>
      </c>
      <c r="B239" t="s">
        <v>1009</v>
      </c>
      <c r="C239" t="s">
        <v>82</v>
      </c>
      <c r="D239" t="s">
        <v>23</v>
      </c>
      <c r="E239" t="s">
        <v>87</v>
      </c>
      <c r="F239">
        <v>12</v>
      </c>
      <c r="G239" t="s">
        <v>1010</v>
      </c>
      <c r="H239" t="s">
        <v>99</v>
      </c>
      <c r="I239" t="s">
        <v>1011</v>
      </c>
      <c r="J239" t="s">
        <v>28</v>
      </c>
      <c r="K239" t="s">
        <v>29</v>
      </c>
      <c r="L239">
        <v>4</v>
      </c>
      <c r="M239">
        <v>246.76</v>
      </c>
      <c r="N239" t="s">
        <v>1010</v>
      </c>
      <c r="P239" t="s">
        <v>495</v>
      </c>
      <c r="Q239">
        <v>7.95</v>
      </c>
      <c r="R239">
        <v>4.7</v>
      </c>
      <c r="S239">
        <v>1</v>
      </c>
      <c r="T239">
        <v>9</v>
      </c>
    </row>
    <row r="240" spans="1:20" x14ac:dyDescent="0.3">
      <c r="A240" t="s">
        <v>1012</v>
      </c>
      <c r="B240" t="s">
        <v>1013</v>
      </c>
      <c r="C240" t="s">
        <v>97</v>
      </c>
      <c r="D240" t="s">
        <v>23</v>
      </c>
      <c r="E240" t="s">
        <v>112</v>
      </c>
      <c r="F240">
        <v>35</v>
      </c>
      <c r="G240" t="s">
        <v>1014</v>
      </c>
      <c r="H240" t="s">
        <v>26</v>
      </c>
      <c r="I240" t="s">
        <v>1015</v>
      </c>
      <c r="J240" t="s">
        <v>63</v>
      </c>
      <c r="K240" t="s">
        <v>29</v>
      </c>
      <c r="L240">
        <v>6</v>
      </c>
      <c r="M240">
        <v>698.6</v>
      </c>
      <c r="N240" t="s">
        <v>1014</v>
      </c>
      <c r="O240" t="s">
        <v>1016</v>
      </c>
      <c r="P240" t="s">
        <v>31</v>
      </c>
      <c r="Q240">
        <v>6.4</v>
      </c>
      <c r="R240">
        <v>4</v>
      </c>
      <c r="S240">
        <v>2</v>
      </c>
      <c r="T240">
        <v>6.5</v>
      </c>
    </row>
    <row r="241" spans="1:20" x14ac:dyDescent="0.3">
      <c r="A241" t="s">
        <v>1017</v>
      </c>
      <c r="B241" t="s">
        <v>1018</v>
      </c>
      <c r="C241" t="s">
        <v>59</v>
      </c>
      <c r="D241" t="s">
        <v>23</v>
      </c>
      <c r="E241" t="s">
        <v>112</v>
      </c>
      <c r="F241">
        <v>80</v>
      </c>
      <c r="G241" t="s">
        <v>1019</v>
      </c>
      <c r="H241" t="s">
        <v>54</v>
      </c>
      <c r="I241" t="s">
        <v>1020</v>
      </c>
      <c r="J241" t="s">
        <v>28</v>
      </c>
      <c r="K241" t="s">
        <v>48</v>
      </c>
      <c r="L241">
        <v>3</v>
      </c>
      <c r="M241">
        <v>230.84</v>
      </c>
      <c r="N241" t="s">
        <v>1019</v>
      </c>
      <c r="O241" t="s">
        <v>706</v>
      </c>
      <c r="P241" t="s">
        <v>31</v>
      </c>
      <c r="Q241">
        <v>1.454545454545455</v>
      </c>
      <c r="R241">
        <v>0.45454545454545447</v>
      </c>
      <c r="S241">
        <v>3</v>
      </c>
      <c r="T241">
        <v>4.666666666666667</v>
      </c>
    </row>
    <row r="242" spans="1:20" x14ac:dyDescent="0.3">
      <c r="A242" t="s">
        <v>1021</v>
      </c>
      <c r="B242" t="s">
        <v>1022</v>
      </c>
      <c r="C242" t="s">
        <v>111</v>
      </c>
      <c r="D242" t="s">
        <v>35</v>
      </c>
      <c r="E242" t="s">
        <v>52</v>
      </c>
      <c r="F242">
        <v>150</v>
      </c>
      <c r="G242" t="s">
        <v>1023</v>
      </c>
      <c r="H242" t="s">
        <v>46</v>
      </c>
      <c r="I242" t="s">
        <v>1024</v>
      </c>
      <c r="J242" t="s">
        <v>56</v>
      </c>
      <c r="K242" t="s">
        <v>29</v>
      </c>
      <c r="L242">
        <v>7</v>
      </c>
      <c r="M242">
        <v>72.52</v>
      </c>
      <c r="N242" t="s">
        <v>1023</v>
      </c>
      <c r="P242" t="s">
        <v>40</v>
      </c>
      <c r="Q242">
        <v>7.4545454545454541</v>
      </c>
      <c r="R242">
        <v>4.4545454545454541</v>
      </c>
      <c r="S242">
        <v>2</v>
      </c>
      <c r="T242">
        <v>1.5</v>
      </c>
    </row>
    <row r="243" spans="1:20" x14ac:dyDescent="0.3">
      <c r="A243" t="s">
        <v>1025</v>
      </c>
      <c r="B243" t="s">
        <v>1009</v>
      </c>
      <c r="C243" t="s">
        <v>51</v>
      </c>
      <c r="D243" t="s">
        <v>23</v>
      </c>
      <c r="E243" t="s">
        <v>24</v>
      </c>
      <c r="F243">
        <v>12</v>
      </c>
      <c r="G243" t="s">
        <v>1026</v>
      </c>
      <c r="H243" t="s">
        <v>54</v>
      </c>
      <c r="I243" t="s">
        <v>1027</v>
      </c>
      <c r="J243" t="s">
        <v>28</v>
      </c>
      <c r="K243" t="s">
        <v>48</v>
      </c>
      <c r="L243">
        <v>8</v>
      </c>
      <c r="M243">
        <v>310.44</v>
      </c>
      <c r="N243" t="s">
        <v>1026</v>
      </c>
      <c r="O243" t="s">
        <v>901</v>
      </c>
      <c r="P243" t="s">
        <v>31</v>
      </c>
      <c r="Q243">
        <v>5.117647058823529</v>
      </c>
      <c r="R243">
        <v>2.5882352941176472</v>
      </c>
      <c r="S243">
        <v>3</v>
      </c>
      <c r="T243">
        <v>6.666666666666667</v>
      </c>
    </row>
    <row r="244" spans="1:20" x14ac:dyDescent="0.3">
      <c r="A244" t="s">
        <v>1025</v>
      </c>
      <c r="B244" t="s">
        <v>1009</v>
      </c>
      <c r="C244" t="s">
        <v>51</v>
      </c>
      <c r="D244" t="s">
        <v>23</v>
      </c>
      <c r="E244" t="s">
        <v>24</v>
      </c>
      <c r="F244">
        <v>12</v>
      </c>
      <c r="G244" t="s">
        <v>1026</v>
      </c>
      <c r="H244" t="s">
        <v>54</v>
      </c>
      <c r="I244" t="s">
        <v>1028</v>
      </c>
      <c r="J244" t="s">
        <v>63</v>
      </c>
      <c r="K244" t="s">
        <v>29</v>
      </c>
      <c r="L244">
        <v>6</v>
      </c>
      <c r="M244">
        <v>698.6</v>
      </c>
      <c r="N244" t="s">
        <v>1029</v>
      </c>
      <c r="P244" t="s">
        <v>40</v>
      </c>
      <c r="Q244">
        <v>5.117647058823529</v>
      </c>
      <c r="R244">
        <v>2.5882352941176472</v>
      </c>
      <c r="S244">
        <v>3</v>
      </c>
      <c r="T244">
        <v>6.666666666666667</v>
      </c>
    </row>
    <row r="245" spans="1:20" x14ac:dyDescent="0.3">
      <c r="A245" t="s">
        <v>1030</v>
      </c>
      <c r="B245" t="s">
        <v>1031</v>
      </c>
      <c r="C245" t="s">
        <v>59</v>
      </c>
      <c r="D245" t="s">
        <v>127</v>
      </c>
      <c r="E245" t="s">
        <v>245</v>
      </c>
      <c r="F245">
        <v>150</v>
      </c>
      <c r="G245" t="s">
        <v>1032</v>
      </c>
      <c r="H245" t="s">
        <v>38</v>
      </c>
      <c r="I245" t="s">
        <v>1033</v>
      </c>
      <c r="J245" t="s">
        <v>28</v>
      </c>
      <c r="K245" t="s">
        <v>29</v>
      </c>
      <c r="L245">
        <v>4</v>
      </c>
      <c r="M245">
        <v>246.76</v>
      </c>
      <c r="N245" t="s">
        <v>1032</v>
      </c>
      <c r="P245" t="s">
        <v>40</v>
      </c>
      <c r="Q245">
        <v>15.38461538461539</v>
      </c>
      <c r="R245">
        <v>8</v>
      </c>
      <c r="S245">
        <v>2</v>
      </c>
      <c r="T245">
        <v>5.5</v>
      </c>
    </row>
    <row r="246" spans="1:20" x14ac:dyDescent="0.3">
      <c r="A246" t="s">
        <v>1034</v>
      </c>
      <c r="B246" t="s">
        <v>1035</v>
      </c>
      <c r="C246" t="s">
        <v>34</v>
      </c>
      <c r="D246" t="s">
        <v>35</v>
      </c>
      <c r="E246" t="s">
        <v>52</v>
      </c>
      <c r="F246">
        <v>3000</v>
      </c>
      <c r="G246" t="s">
        <v>1006</v>
      </c>
      <c r="H246" t="s">
        <v>26</v>
      </c>
      <c r="I246" t="s">
        <v>1036</v>
      </c>
      <c r="J246" t="s">
        <v>63</v>
      </c>
      <c r="K246" t="s">
        <v>48</v>
      </c>
      <c r="L246">
        <v>7</v>
      </c>
      <c r="M246">
        <v>738.52</v>
      </c>
      <c r="N246" t="s">
        <v>1006</v>
      </c>
      <c r="P246" t="s">
        <v>40</v>
      </c>
      <c r="Q246">
        <v>12</v>
      </c>
      <c r="R246">
        <v>7</v>
      </c>
      <c r="S246">
        <v>2</v>
      </c>
      <c r="T246">
        <v>7</v>
      </c>
    </row>
    <row r="247" spans="1:20" x14ac:dyDescent="0.3">
      <c r="A247" t="s">
        <v>1037</v>
      </c>
      <c r="B247" t="s">
        <v>1038</v>
      </c>
      <c r="C247" t="s">
        <v>67</v>
      </c>
      <c r="D247" t="s">
        <v>43</v>
      </c>
      <c r="E247" t="s">
        <v>44</v>
      </c>
      <c r="F247">
        <v>400</v>
      </c>
      <c r="G247" t="s">
        <v>1039</v>
      </c>
      <c r="H247" t="s">
        <v>61</v>
      </c>
      <c r="I247" t="s">
        <v>1040</v>
      </c>
      <c r="J247" t="s">
        <v>63</v>
      </c>
      <c r="K247" t="s">
        <v>29</v>
      </c>
      <c r="L247">
        <v>3</v>
      </c>
      <c r="M247">
        <v>578.84</v>
      </c>
      <c r="N247" t="s">
        <v>1039</v>
      </c>
      <c r="P247" t="s">
        <v>40</v>
      </c>
      <c r="Q247">
        <v>13.4</v>
      </c>
      <c r="R247">
        <v>6.6</v>
      </c>
      <c r="S247">
        <v>6</v>
      </c>
      <c r="T247">
        <v>7.333333333333333</v>
      </c>
    </row>
    <row r="248" spans="1:20" x14ac:dyDescent="0.3">
      <c r="A248" t="s">
        <v>1041</v>
      </c>
      <c r="B248" t="s">
        <v>1042</v>
      </c>
      <c r="C248" t="s">
        <v>67</v>
      </c>
      <c r="D248" t="s">
        <v>35</v>
      </c>
      <c r="E248" t="s">
        <v>36</v>
      </c>
      <c r="F248">
        <v>12</v>
      </c>
      <c r="G248" t="s">
        <v>1043</v>
      </c>
      <c r="H248" t="s">
        <v>26</v>
      </c>
      <c r="I248" t="s">
        <v>1044</v>
      </c>
      <c r="J248" t="s">
        <v>56</v>
      </c>
      <c r="K248" t="s">
        <v>48</v>
      </c>
      <c r="L248">
        <v>6</v>
      </c>
      <c r="M248">
        <v>68.599999999999994</v>
      </c>
      <c r="N248" t="s">
        <v>1043</v>
      </c>
      <c r="P248" t="s">
        <v>40</v>
      </c>
      <c r="Q248">
        <v>21.85</v>
      </c>
      <c r="R248">
        <v>12.7</v>
      </c>
      <c r="S248">
        <v>4</v>
      </c>
      <c r="T248">
        <v>6</v>
      </c>
    </row>
    <row r="249" spans="1:20" x14ac:dyDescent="0.3">
      <c r="A249" t="s">
        <v>1045</v>
      </c>
      <c r="B249" t="s">
        <v>1046</v>
      </c>
      <c r="C249" t="s">
        <v>97</v>
      </c>
      <c r="D249" t="s">
        <v>23</v>
      </c>
      <c r="E249" t="s">
        <v>117</v>
      </c>
      <c r="F249">
        <v>80</v>
      </c>
      <c r="G249" t="s">
        <v>129</v>
      </c>
      <c r="H249" t="s">
        <v>54</v>
      </c>
      <c r="I249" t="s">
        <v>1047</v>
      </c>
      <c r="J249" t="s">
        <v>56</v>
      </c>
      <c r="K249" t="s">
        <v>29</v>
      </c>
      <c r="L249">
        <v>6</v>
      </c>
      <c r="M249">
        <v>68.599999999999994</v>
      </c>
      <c r="N249" t="s">
        <v>129</v>
      </c>
      <c r="P249" t="s">
        <v>40</v>
      </c>
      <c r="Q249">
        <v>3.285714285714286</v>
      </c>
      <c r="R249">
        <v>1.285714285714286</v>
      </c>
      <c r="S249">
        <v>4</v>
      </c>
      <c r="T249">
        <v>5.5</v>
      </c>
    </row>
    <row r="250" spans="1:20" x14ac:dyDescent="0.3">
      <c r="A250" t="s">
        <v>1048</v>
      </c>
      <c r="B250" t="s">
        <v>1049</v>
      </c>
      <c r="C250" t="s">
        <v>82</v>
      </c>
      <c r="D250" t="s">
        <v>43</v>
      </c>
      <c r="E250" t="s">
        <v>44</v>
      </c>
      <c r="F250">
        <v>400</v>
      </c>
      <c r="G250" t="s">
        <v>1050</v>
      </c>
      <c r="H250" t="s">
        <v>38</v>
      </c>
      <c r="I250" t="s">
        <v>1051</v>
      </c>
      <c r="J250" t="s">
        <v>56</v>
      </c>
      <c r="K250" t="s">
        <v>48</v>
      </c>
      <c r="L250">
        <v>7</v>
      </c>
      <c r="M250">
        <v>72.52</v>
      </c>
      <c r="N250" t="s">
        <v>1050</v>
      </c>
      <c r="O250" t="s">
        <v>1052</v>
      </c>
      <c r="P250" t="s">
        <v>31</v>
      </c>
      <c r="Q250">
        <v>6.6</v>
      </c>
      <c r="R250">
        <v>4.2</v>
      </c>
      <c r="S250">
        <v>8</v>
      </c>
      <c r="T250">
        <v>5.5</v>
      </c>
    </row>
    <row r="251" spans="1:20" x14ac:dyDescent="0.3">
      <c r="A251" t="s">
        <v>1053</v>
      </c>
      <c r="B251" t="s">
        <v>1054</v>
      </c>
      <c r="C251" t="s">
        <v>59</v>
      </c>
      <c r="D251" t="s">
        <v>23</v>
      </c>
      <c r="E251" t="s">
        <v>87</v>
      </c>
      <c r="F251">
        <v>150</v>
      </c>
      <c r="G251" t="s">
        <v>1055</v>
      </c>
      <c r="H251" t="s">
        <v>61</v>
      </c>
      <c r="I251" t="s">
        <v>1056</v>
      </c>
      <c r="J251" t="s">
        <v>28</v>
      </c>
      <c r="K251" t="s">
        <v>29</v>
      </c>
      <c r="L251">
        <v>11</v>
      </c>
      <c r="M251">
        <v>358.2</v>
      </c>
      <c r="N251" t="s">
        <v>1055</v>
      </c>
      <c r="P251" t="s">
        <v>40</v>
      </c>
      <c r="Q251">
        <v>24.5</v>
      </c>
      <c r="R251">
        <v>11.5</v>
      </c>
      <c r="S251">
        <v>3</v>
      </c>
      <c r="T251">
        <v>7.333333333333333</v>
      </c>
    </row>
    <row r="252" spans="1:20" x14ac:dyDescent="0.3">
      <c r="A252" t="s">
        <v>1057</v>
      </c>
      <c r="B252" t="s">
        <v>1058</v>
      </c>
      <c r="C252" t="s">
        <v>111</v>
      </c>
      <c r="D252" t="s">
        <v>35</v>
      </c>
      <c r="E252" t="s">
        <v>52</v>
      </c>
      <c r="F252">
        <v>35</v>
      </c>
      <c r="G252" t="s">
        <v>1059</v>
      </c>
      <c r="H252" t="s">
        <v>46</v>
      </c>
      <c r="I252" t="s">
        <v>1060</v>
      </c>
      <c r="J252" t="s">
        <v>56</v>
      </c>
      <c r="K252" t="s">
        <v>29</v>
      </c>
      <c r="L252">
        <v>11</v>
      </c>
      <c r="M252">
        <v>88.2</v>
      </c>
      <c r="N252" t="s">
        <v>1059</v>
      </c>
      <c r="O252" t="s">
        <v>1061</v>
      </c>
      <c r="P252" t="s">
        <v>31</v>
      </c>
      <c r="Q252">
        <v>6.9</v>
      </c>
      <c r="R252">
        <v>3.7</v>
      </c>
      <c r="S252">
        <v>2</v>
      </c>
      <c r="T252">
        <v>4</v>
      </c>
    </row>
    <row r="253" spans="1:20" x14ac:dyDescent="0.3">
      <c r="A253" t="s">
        <v>1062</v>
      </c>
      <c r="B253" t="s">
        <v>1063</v>
      </c>
      <c r="C253" t="s">
        <v>67</v>
      </c>
      <c r="D253" t="s">
        <v>35</v>
      </c>
      <c r="E253" t="s">
        <v>52</v>
      </c>
      <c r="F253">
        <v>150</v>
      </c>
      <c r="G253" t="s">
        <v>1064</v>
      </c>
      <c r="H253" t="s">
        <v>99</v>
      </c>
      <c r="I253" t="s">
        <v>1065</v>
      </c>
      <c r="J253" t="s">
        <v>70</v>
      </c>
      <c r="K253" t="s">
        <v>29</v>
      </c>
      <c r="L253">
        <v>3</v>
      </c>
      <c r="M253">
        <v>1738.84</v>
      </c>
      <c r="N253" t="s">
        <v>1064</v>
      </c>
      <c r="O253" t="s">
        <v>1066</v>
      </c>
      <c r="P253" t="s">
        <v>31</v>
      </c>
      <c r="Q253">
        <v>9.75</v>
      </c>
      <c r="R253">
        <v>4</v>
      </c>
      <c r="S253">
        <v>5</v>
      </c>
      <c r="T253">
        <v>6.4</v>
      </c>
    </row>
    <row r="254" spans="1:20" x14ac:dyDescent="0.3">
      <c r="A254" t="s">
        <v>1067</v>
      </c>
      <c r="B254" t="s">
        <v>1068</v>
      </c>
      <c r="C254" t="s">
        <v>34</v>
      </c>
      <c r="D254" t="s">
        <v>138</v>
      </c>
      <c r="E254" t="s">
        <v>138</v>
      </c>
      <c r="F254">
        <v>80</v>
      </c>
      <c r="G254" t="s">
        <v>1069</v>
      </c>
      <c r="H254" t="s">
        <v>46</v>
      </c>
      <c r="I254" t="s">
        <v>1070</v>
      </c>
      <c r="J254" t="s">
        <v>56</v>
      </c>
      <c r="K254" t="s">
        <v>29</v>
      </c>
      <c r="L254">
        <v>5</v>
      </c>
      <c r="M254">
        <v>64.680000000000007</v>
      </c>
      <c r="N254" t="s">
        <v>1069</v>
      </c>
      <c r="P254" t="s">
        <v>495</v>
      </c>
      <c r="S254">
        <v>2</v>
      </c>
      <c r="T254">
        <v>5.5</v>
      </c>
    </row>
    <row r="255" spans="1:20" x14ac:dyDescent="0.3">
      <c r="A255" t="s">
        <v>1071</v>
      </c>
      <c r="B255" t="s">
        <v>1072</v>
      </c>
      <c r="C255" t="s">
        <v>97</v>
      </c>
      <c r="D255" t="s">
        <v>23</v>
      </c>
      <c r="E255" t="s">
        <v>112</v>
      </c>
      <c r="F255">
        <v>1200</v>
      </c>
      <c r="G255" t="s">
        <v>868</v>
      </c>
      <c r="H255" t="s">
        <v>26</v>
      </c>
      <c r="I255" t="s">
        <v>1073</v>
      </c>
      <c r="J255" t="s">
        <v>70</v>
      </c>
      <c r="K255" t="s">
        <v>29</v>
      </c>
      <c r="L255">
        <v>6</v>
      </c>
      <c r="M255">
        <v>2098.6</v>
      </c>
      <c r="N255" t="s">
        <v>868</v>
      </c>
      <c r="O255" t="s">
        <v>1074</v>
      </c>
      <c r="P255" t="s">
        <v>31</v>
      </c>
      <c r="Q255">
        <v>11.82352941176471</v>
      </c>
      <c r="R255">
        <v>6.9411764705882364</v>
      </c>
      <c r="S255">
        <v>1</v>
      </c>
      <c r="T255">
        <v>6</v>
      </c>
    </row>
    <row r="256" spans="1:20" x14ac:dyDescent="0.3">
      <c r="A256" t="s">
        <v>1075</v>
      </c>
      <c r="B256" t="s">
        <v>630</v>
      </c>
      <c r="C256" t="s">
        <v>34</v>
      </c>
      <c r="D256" t="s">
        <v>23</v>
      </c>
      <c r="E256" t="s">
        <v>24</v>
      </c>
      <c r="F256">
        <v>35</v>
      </c>
      <c r="G256" t="s">
        <v>1076</v>
      </c>
      <c r="H256" t="s">
        <v>61</v>
      </c>
      <c r="I256" t="s">
        <v>1077</v>
      </c>
      <c r="J256" t="s">
        <v>70</v>
      </c>
      <c r="K256" t="s">
        <v>29</v>
      </c>
      <c r="L256">
        <v>8</v>
      </c>
      <c r="M256">
        <v>2338.44</v>
      </c>
      <c r="N256" t="s">
        <v>1076</v>
      </c>
      <c r="O256" t="s">
        <v>1078</v>
      </c>
      <c r="P256" t="s">
        <v>31</v>
      </c>
      <c r="Q256">
        <v>3.5</v>
      </c>
      <c r="R256">
        <v>1.5</v>
      </c>
      <c r="S256">
        <v>3</v>
      </c>
      <c r="T256">
        <v>5.333333333333333</v>
      </c>
    </row>
    <row r="257" spans="1:20" x14ac:dyDescent="0.3">
      <c r="A257" t="s">
        <v>1075</v>
      </c>
      <c r="B257" t="s">
        <v>630</v>
      </c>
      <c r="C257" t="s">
        <v>34</v>
      </c>
      <c r="D257" t="s">
        <v>23</v>
      </c>
      <c r="E257" t="s">
        <v>24</v>
      </c>
      <c r="F257">
        <v>35</v>
      </c>
      <c r="G257" t="s">
        <v>1076</v>
      </c>
      <c r="H257" t="s">
        <v>61</v>
      </c>
      <c r="I257" t="s">
        <v>1079</v>
      </c>
      <c r="J257" t="s">
        <v>28</v>
      </c>
      <c r="K257" t="s">
        <v>29</v>
      </c>
      <c r="L257">
        <v>8</v>
      </c>
      <c r="M257">
        <v>310.44</v>
      </c>
      <c r="N257" t="s">
        <v>1080</v>
      </c>
      <c r="P257" t="s">
        <v>40</v>
      </c>
      <c r="Q257">
        <v>3.5</v>
      </c>
      <c r="R257">
        <v>1.5</v>
      </c>
      <c r="S257">
        <v>3</v>
      </c>
      <c r="T257">
        <v>5.333333333333333</v>
      </c>
    </row>
    <row r="258" spans="1:20" x14ac:dyDescent="0.3">
      <c r="A258" t="s">
        <v>1081</v>
      </c>
      <c r="B258" t="s">
        <v>1082</v>
      </c>
      <c r="C258" t="s">
        <v>111</v>
      </c>
      <c r="D258" t="s">
        <v>43</v>
      </c>
      <c r="E258" t="s">
        <v>44</v>
      </c>
      <c r="F258">
        <v>150</v>
      </c>
      <c r="G258" t="s">
        <v>1083</v>
      </c>
      <c r="H258" t="s">
        <v>26</v>
      </c>
      <c r="I258" t="s">
        <v>1084</v>
      </c>
      <c r="J258" t="s">
        <v>56</v>
      </c>
      <c r="K258" t="s">
        <v>29</v>
      </c>
      <c r="L258">
        <v>5</v>
      </c>
      <c r="M258">
        <v>64.680000000000007</v>
      </c>
      <c r="N258" t="s">
        <v>1083</v>
      </c>
      <c r="P258" t="s">
        <v>40</v>
      </c>
      <c r="Q258">
        <v>19</v>
      </c>
      <c r="R258">
        <v>11.23076923076923</v>
      </c>
      <c r="S258">
        <v>2</v>
      </c>
      <c r="T258">
        <v>5</v>
      </c>
    </row>
    <row r="259" spans="1:20" x14ac:dyDescent="0.3">
      <c r="A259" t="s">
        <v>1085</v>
      </c>
      <c r="B259" t="s">
        <v>1086</v>
      </c>
      <c r="C259" t="s">
        <v>111</v>
      </c>
      <c r="D259" t="s">
        <v>23</v>
      </c>
      <c r="E259" t="s">
        <v>73</v>
      </c>
      <c r="F259">
        <v>150</v>
      </c>
      <c r="G259" t="s">
        <v>1087</v>
      </c>
      <c r="H259" t="s">
        <v>38</v>
      </c>
      <c r="I259" t="s">
        <v>1088</v>
      </c>
      <c r="J259" t="s">
        <v>56</v>
      </c>
      <c r="K259" t="s">
        <v>48</v>
      </c>
      <c r="L259">
        <v>7</v>
      </c>
      <c r="M259">
        <v>72.52</v>
      </c>
      <c r="N259" t="s">
        <v>1087</v>
      </c>
      <c r="P259" t="s">
        <v>40</v>
      </c>
      <c r="Q259">
        <v>5</v>
      </c>
      <c r="R259">
        <v>3</v>
      </c>
      <c r="S259">
        <v>2</v>
      </c>
      <c r="T259">
        <v>5</v>
      </c>
    </row>
    <row r="260" spans="1:20" x14ac:dyDescent="0.3">
      <c r="A260" t="s">
        <v>1089</v>
      </c>
      <c r="B260" t="s">
        <v>1090</v>
      </c>
      <c r="C260" t="s">
        <v>59</v>
      </c>
      <c r="D260" t="s">
        <v>23</v>
      </c>
      <c r="E260" t="s">
        <v>87</v>
      </c>
      <c r="F260">
        <v>150</v>
      </c>
      <c r="G260" t="s">
        <v>1091</v>
      </c>
      <c r="H260" t="s">
        <v>46</v>
      </c>
      <c r="I260" t="s">
        <v>1092</v>
      </c>
      <c r="J260" t="s">
        <v>56</v>
      </c>
      <c r="K260" t="s">
        <v>29</v>
      </c>
      <c r="L260">
        <v>10</v>
      </c>
      <c r="M260">
        <v>84.28</v>
      </c>
      <c r="N260" t="s">
        <v>1091</v>
      </c>
      <c r="P260" t="s">
        <v>40</v>
      </c>
      <c r="Q260">
        <v>8</v>
      </c>
      <c r="R260">
        <v>6</v>
      </c>
      <c r="S260">
        <v>7</v>
      </c>
      <c r="T260">
        <v>5.1428571428571432</v>
      </c>
    </row>
    <row r="261" spans="1:20" x14ac:dyDescent="0.3">
      <c r="A261" t="s">
        <v>1093</v>
      </c>
      <c r="B261" t="s">
        <v>1094</v>
      </c>
      <c r="C261" t="s">
        <v>34</v>
      </c>
      <c r="D261" t="s">
        <v>43</v>
      </c>
      <c r="E261" t="s">
        <v>78</v>
      </c>
      <c r="F261">
        <v>80</v>
      </c>
      <c r="G261" t="s">
        <v>228</v>
      </c>
      <c r="H261" t="s">
        <v>46</v>
      </c>
      <c r="I261" t="s">
        <v>1095</v>
      </c>
      <c r="J261" t="s">
        <v>63</v>
      </c>
      <c r="K261" t="s">
        <v>29</v>
      </c>
      <c r="L261">
        <v>4</v>
      </c>
      <c r="M261">
        <v>618.76</v>
      </c>
      <c r="N261" t="s">
        <v>228</v>
      </c>
      <c r="P261" t="s">
        <v>40</v>
      </c>
      <c r="Q261">
        <v>19.27272727272727</v>
      </c>
      <c r="R261">
        <v>13.63636363636364</v>
      </c>
      <c r="S261">
        <v>2</v>
      </c>
      <c r="T261">
        <v>7.5</v>
      </c>
    </row>
    <row r="262" spans="1:20" x14ac:dyDescent="0.3">
      <c r="A262" t="s">
        <v>1096</v>
      </c>
      <c r="B262" t="s">
        <v>1097</v>
      </c>
      <c r="C262" t="s">
        <v>67</v>
      </c>
      <c r="D262" t="s">
        <v>35</v>
      </c>
      <c r="E262" t="s">
        <v>52</v>
      </c>
      <c r="F262">
        <v>1200</v>
      </c>
      <c r="G262" t="s">
        <v>839</v>
      </c>
      <c r="H262" t="s">
        <v>54</v>
      </c>
      <c r="I262" t="s">
        <v>1098</v>
      </c>
      <c r="J262" t="s">
        <v>63</v>
      </c>
      <c r="K262" t="s">
        <v>29</v>
      </c>
      <c r="L262">
        <v>7</v>
      </c>
      <c r="M262">
        <v>738.52</v>
      </c>
      <c r="N262" t="s">
        <v>839</v>
      </c>
      <c r="P262" t="s">
        <v>40</v>
      </c>
      <c r="Q262">
        <v>10.4</v>
      </c>
      <c r="R262">
        <v>6.4</v>
      </c>
      <c r="S262">
        <v>5</v>
      </c>
      <c r="T262">
        <v>4.5999999999999996</v>
      </c>
    </row>
    <row r="263" spans="1:20" x14ac:dyDescent="0.3">
      <c r="A263" t="s">
        <v>1099</v>
      </c>
      <c r="B263" t="s">
        <v>1100</v>
      </c>
      <c r="C263" t="s">
        <v>111</v>
      </c>
      <c r="D263" t="s">
        <v>43</v>
      </c>
      <c r="E263" t="s">
        <v>78</v>
      </c>
      <c r="F263">
        <v>400</v>
      </c>
      <c r="G263" t="s">
        <v>1101</v>
      </c>
      <c r="H263" t="s">
        <v>26</v>
      </c>
      <c r="I263" t="s">
        <v>1102</v>
      </c>
      <c r="J263" t="s">
        <v>63</v>
      </c>
      <c r="K263" t="s">
        <v>29</v>
      </c>
      <c r="L263">
        <v>7</v>
      </c>
      <c r="M263">
        <v>738.52</v>
      </c>
      <c r="N263" t="s">
        <v>1101</v>
      </c>
      <c r="P263" t="s">
        <v>40</v>
      </c>
      <c r="Q263">
        <v>13.111111111111111</v>
      </c>
      <c r="R263">
        <v>8.6666666666666661</v>
      </c>
      <c r="S263">
        <v>2</v>
      </c>
      <c r="T263">
        <v>5.5</v>
      </c>
    </row>
    <row r="264" spans="1:20" x14ac:dyDescent="0.3">
      <c r="A264" t="s">
        <v>1103</v>
      </c>
      <c r="B264" t="s">
        <v>1104</v>
      </c>
      <c r="C264" t="s">
        <v>67</v>
      </c>
      <c r="D264" t="s">
        <v>127</v>
      </c>
      <c r="E264" t="s">
        <v>133</v>
      </c>
      <c r="F264">
        <v>150</v>
      </c>
      <c r="G264" t="s">
        <v>1105</v>
      </c>
      <c r="H264" t="s">
        <v>46</v>
      </c>
      <c r="I264" t="s">
        <v>1106</v>
      </c>
      <c r="J264" t="s">
        <v>63</v>
      </c>
      <c r="K264" t="s">
        <v>29</v>
      </c>
      <c r="L264">
        <v>6</v>
      </c>
      <c r="M264">
        <v>698.6</v>
      </c>
      <c r="N264" t="s">
        <v>1105</v>
      </c>
      <c r="P264" t="s">
        <v>40</v>
      </c>
      <c r="Q264">
        <v>13.66666666666667</v>
      </c>
      <c r="R264">
        <v>7.0476190476190466</v>
      </c>
      <c r="S264">
        <v>4</v>
      </c>
      <c r="T264">
        <v>5.5</v>
      </c>
    </row>
    <row r="265" spans="1:20" x14ac:dyDescent="0.3">
      <c r="A265" t="s">
        <v>1107</v>
      </c>
      <c r="B265" t="s">
        <v>1108</v>
      </c>
      <c r="C265" t="s">
        <v>34</v>
      </c>
      <c r="D265" t="s">
        <v>23</v>
      </c>
      <c r="E265" t="s">
        <v>24</v>
      </c>
      <c r="F265">
        <v>1200</v>
      </c>
      <c r="G265" t="s">
        <v>184</v>
      </c>
      <c r="H265" t="s">
        <v>54</v>
      </c>
      <c r="I265" t="s">
        <v>1109</v>
      </c>
      <c r="J265" t="s">
        <v>70</v>
      </c>
      <c r="K265" t="s">
        <v>48</v>
      </c>
      <c r="L265">
        <v>5</v>
      </c>
      <c r="M265">
        <v>1978.68</v>
      </c>
      <c r="N265" t="s">
        <v>184</v>
      </c>
      <c r="P265" t="s">
        <v>495</v>
      </c>
      <c r="Q265">
        <v>12.41666666666667</v>
      </c>
      <c r="R265">
        <v>6.166666666666667</v>
      </c>
      <c r="S265">
        <v>5</v>
      </c>
      <c r="T265">
        <v>5.6</v>
      </c>
    </row>
    <row r="266" spans="1:20" x14ac:dyDescent="0.3">
      <c r="A266" t="s">
        <v>1110</v>
      </c>
      <c r="B266" t="s">
        <v>1111</v>
      </c>
      <c r="C266" t="s">
        <v>59</v>
      </c>
      <c r="D266" t="s">
        <v>138</v>
      </c>
      <c r="E266" t="s">
        <v>138</v>
      </c>
      <c r="F266">
        <v>80</v>
      </c>
      <c r="G266" t="s">
        <v>1112</v>
      </c>
      <c r="H266" t="s">
        <v>26</v>
      </c>
      <c r="I266" t="s">
        <v>1113</v>
      </c>
      <c r="J266" t="s">
        <v>63</v>
      </c>
      <c r="K266" t="s">
        <v>29</v>
      </c>
      <c r="L266">
        <v>9</v>
      </c>
      <c r="M266">
        <v>818.36</v>
      </c>
      <c r="N266" t="s">
        <v>1112</v>
      </c>
      <c r="P266" t="s">
        <v>40</v>
      </c>
      <c r="Q266">
        <v>7.8636363636363633</v>
      </c>
      <c r="R266">
        <v>4.6363636363636367</v>
      </c>
      <c r="S266">
        <v>3</v>
      </c>
      <c r="T266">
        <v>5</v>
      </c>
    </row>
    <row r="267" spans="1:20" x14ac:dyDescent="0.3">
      <c r="A267" t="s">
        <v>1114</v>
      </c>
      <c r="B267" t="s">
        <v>1115</v>
      </c>
      <c r="C267" t="s">
        <v>111</v>
      </c>
      <c r="D267" t="s">
        <v>35</v>
      </c>
      <c r="E267" t="s">
        <v>52</v>
      </c>
      <c r="F267">
        <v>12</v>
      </c>
      <c r="G267" t="s">
        <v>1116</v>
      </c>
      <c r="H267" t="s">
        <v>46</v>
      </c>
      <c r="I267" t="s">
        <v>1117</v>
      </c>
      <c r="J267" t="s">
        <v>70</v>
      </c>
      <c r="K267" t="s">
        <v>29</v>
      </c>
      <c r="L267">
        <v>6</v>
      </c>
      <c r="M267">
        <v>2098.6</v>
      </c>
      <c r="N267" t="s">
        <v>1116</v>
      </c>
      <c r="O267" t="s">
        <v>1118</v>
      </c>
      <c r="P267" t="s">
        <v>31</v>
      </c>
      <c r="Q267">
        <v>6.9444444444444446</v>
      </c>
      <c r="R267">
        <v>3.2222222222222219</v>
      </c>
      <c r="S267">
        <v>3</v>
      </c>
      <c r="T267">
        <v>4</v>
      </c>
    </row>
    <row r="268" spans="1:20" x14ac:dyDescent="0.3">
      <c r="A268" t="s">
        <v>1119</v>
      </c>
      <c r="B268" t="s">
        <v>1120</v>
      </c>
      <c r="C268" t="s">
        <v>111</v>
      </c>
      <c r="D268" t="s">
        <v>23</v>
      </c>
      <c r="E268" t="s">
        <v>24</v>
      </c>
      <c r="F268">
        <v>35</v>
      </c>
      <c r="G268" t="s">
        <v>260</v>
      </c>
      <c r="H268" t="s">
        <v>46</v>
      </c>
      <c r="I268" t="s">
        <v>1121</v>
      </c>
      <c r="J268" t="s">
        <v>56</v>
      </c>
      <c r="K268" t="s">
        <v>29</v>
      </c>
      <c r="L268">
        <v>9</v>
      </c>
      <c r="M268">
        <v>80.36</v>
      </c>
      <c r="N268" t="s">
        <v>260</v>
      </c>
      <c r="O268" t="s">
        <v>1122</v>
      </c>
      <c r="P268" t="s">
        <v>31</v>
      </c>
      <c r="Q268">
        <v>6</v>
      </c>
      <c r="R268">
        <v>3</v>
      </c>
      <c r="S268">
        <v>8</v>
      </c>
      <c r="T268">
        <v>6.25</v>
      </c>
    </row>
    <row r="269" spans="1:20" x14ac:dyDescent="0.3">
      <c r="A269" t="s">
        <v>1119</v>
      </c>
      <c r="B269" t="s">
        <v>1120</v>
      </c>
      <c r="C269" t="s">
        <v>111</v>
      </c>
      <c r="D269" t="s">
        <v>23</v>
      </c>
      <c r="E269" t="s">
        <v>24</v>
      </c>
      <c r="F269">
        <v>35</v>
      </c>
      <c r="G269" t="s">
        <v>260</v>
      </c>
      <c r="H269" t="s">
        <v>46</v>
      </c>
      <c r="I269" t="s">
        <v>1123</v>
      </c>
      <c r="J269" t="s">
        <v>56</v>
      </c>
      <c r="K269" t="s">
        <v>29</v>
      </c>
      <c r="L269">
        <v>8</v>
      </c>
      <c r="M269">
        <v>76.44</v>
      </c>
      <c r="N269" t="s">
        <v>1124</v>
      </c>
      <c r="P269" t="s">
        <v>40</v>
      </c>
      <c r="Q269">
        <v>6</v>
      </c>
      <c r="R269">
        <v>3</v>
      </c>
      <c r="S269">
        <v>8</v>
      </c>
      <c r="T269">
        <v>6.25</v>
      </c>
    </row>
    <row r="270" spans="1:20" x14ac:dyDescent="0.3">
      <c r="A270" t="s">
        <v>1125</v>
      </c>
      <c r="B270" t="s">
        <v>1126</v>
      </c>
      <c r="C270" t="s">
        <v>82</v>
      </c>
      <c r="D270" t="s">
        <v>127</v>
      </c>
      <c r="E270" t="s">
        <v>133</v>
      </c>
      <c r="F270">
        <v>35</v>
      </c>
      <c r="G270" t="s">
        <v>760</v>
      </c>
      <c r="H270" t="s">
        <v>46</v>
      </c>
      <c r="I270" t="s">
        <v>1127</v>
      </c>
      <c r="J270" t="s">
        <v>28</v>
      </c>
      <c r="K270" t="s">
        <v>48</v>
      </c>
      <c r="L270">
        <v>8</v>
      </c>
      <c r="M270">
        <v>310.44</v>
      </c>
      <c r="N270" t="s">
        <v>760</v>
      </c>
      <c r="P270" t="s">
        <v>40</v>
      </c>
      <c r="Q270">
        <v>7.8095238095238093</v>
      </c>
      <c r="R270">
        <v>4.2380952380952381</v>
      </c>
      <c r="S270">
        <v>4</v>
      </c>
      <c r="T270">
        <v>5</v>
      </c>
    </row>
    <row r="271" spans="1:20" x14ac:dyDescent="0.3">
      <c r="A271" t="s">
        <v>1128</v>
      </c>
      <c r="B271" t="s">
        <v>1129</v>
      </c>
      <c r="C271" t="s">
        <v>97</v>
      </c>
      <c r="D271" t="s">
        <v>23</v>
      </c>
      <c r="E271" t="s">
        <v>117</v>
      </c>
      <c r="F271">
        <v>12</v>
      </c>
      <c r="G271" t="s">
        <v>650</v>
      </c>
      <c r="H271" t="s">
        <v>38</v>
      </c>
      <c r="I271" t="s">
        <v>1130</v>
      </c>
      <c r="J271" t="s">
        <v>28</v>
      </c>
      <c r="K271" t="s">
        <v>48</v>
      </c>
      <c r="L271">
        <v>8</v>
      </c>
      <c r="M271">
        <v>310.44</v>
      </c>
      <c r="N271" t="s">
        <v>650</v>
      </c>
      <c r="O271" t="s">
        <v>1131</v>
      </c>
      <c r="P271" t="s">
        <v>31</v>
      </c>
      <c r="Q271">
        <v>1</v>
      </c>
      <c r="R271">
        <v>0</v>
      </c>
      <c r="S271">
        <v>1</v>
      </c>
      <c r="T271">
        <v>8</v>
      </c>
    </row>
    <row r="272" spans="1:20" x14ac:dyDescent="0.3">
      <c r="A272" t="s">
        <v>1132</v>
      </c>
      <c r="B272" t="s">
        <v>1133</v>
      </c>
      <c r="C272" t="s">
        <v>111</v>
      </c>
      <c r="D272" t="s">
        <v>35</v>
      </c>
      <c r="E272" t="s">
        <v>36</v>
      </c>
      <c r="F272">
        <v>35</v>
      </c>
      <c r="G272" t="s">
        <v>1134</v>
      </c>
      <c r="H272" t="s">
        <v>99</v>
      </c>
      <c r="I272" t="s">
        <v>1135</v>
      </c>
      <c r="J272" t="s">
        <v>70</v>
      </c>
      <c r="K272" t="s">
        <v>29</v>
      </c>
      <c r="L272">
        <v>5</v>
      </c>
      <c r="M272">
        <v>1978.68</v>
      </c>
      <c r="N272" t="s">
        <v>1134</v>
      </c>
      <c r="P272" t="s">
        <v>40</v>
      </c>
      <c r="Q272">
        <v>10.199999999999999</v>
      </c>
      <c r="R272">
        <v>5.3</v>
      </c>
      <c r="S272">
        <v>4</v>
      </c>
      <c r="T272">
        <v>4.75</v>
      </c>
    </row>
    <row r="273" spans="1:20" x14ac:dyDescent="0.3">
      <c r="A273" t="s">
        <v>1136</v>
      </c>
      <c r="B273" t="s">
        <v>1137</v>
      </c>
      <c r="C273" t="s">
        <v>67</v>
      </c>
      <c r="D273" t="s">
        <v>23</v>
      </c>
      <c r="E273" t="s">
        <v>112</v>
      </c>
      <c r="F273">
        <v>35</v>
      </c>
      <c r="G273" t="s">
        <v>1138</v>
      </c>
      <c r="H273" t="s">
        <v>54</v>
      </c>
      <c r="I273" t="s">
        <v>1139</v>
      </c>
      <c r="J273" t="s">
        <v>70</v>
      </c>
      <c r="K273" t="s">
        <v>29</v>
      </c>
      <c r="L273">
        <v>4</v>
      </c>
      <c r="M273">
        <v>1858.76</v>
      </c>
      <c r="N273" t="s">
        <v>1138</v>
      </c>
      <c r="O273" t="s">
        <v>278</v>
      </c>
      <c r="P273" t="s">
        <v>31</v>
      </c>
      <c r="Q273">
        <v>7.5</v>
      </c>
      <c r="R273">
        <v>3</v>
      </c>
      <c r="S273">
        <v>5</v>
      </c>
      <c r="T273">
        <v>5.2</v>
      </c>
    </row>
    <row r="274" spans="1:20" x14ac:dyDescent="0.3">
      <c r="A274" t="s">
        <v>1140</v>
      </c>
      <c r="B274" t="s">
        <v>1141</v>
      </c>
      <c r="C274" t="s">
        <v>111</v>
      </c>
      <c r="D274" t="s">
        <v>35</v>
      </c>
      <c r="E274" t="s">
        <v>52</v>
      </c>
      <c r="F274">
        <v>150</v>
      </c>
      <c r="G274" t="s">
        <v>1142</v>
      </c>
      <c r="H274" t="s">
        <v>46</v>
      </c>
      <c r="I274" t="s">
        <v>1143</v>
      </c>
      <c r="J274" t="s">
        <v>63</v>
      </c>
      <c r="K274" t="s">
        <v>29</v>
      </c>
      <c r="L274">
        <v>5</v>
      </c>
      <c r="M274">
        <v>658.68</v>
      </c>
      <c r="N274" t="s">
        <v>1142</v>
      </c>
      <c r="O274" t="s">
        <v>1144</v>
      </c>
      <c r="P274" t="s">
        <v>31</v>
      </c>
      <c r="Q274">
        <v>2.4</v>
      </c>
      <c r="R274">
        <v>0.6</v>
      </c>
      <c r="S274">
        <v>1</v>
      </c>
      <c r="T274">
        <v>7</v>
      </c>
    </row>
    <row r="275" spans="1:20" x14ac:dyDescent="0.3">
      <c r="A275" t="s">
        <v>1145</v>
      </c>
      <c r="B275" t="s">
        <v>1146</v>
      </c>
      <c r="C275" t="s">
        <v>67</v>
      </c>
      <c r="D275" t="s">
        <v>23</v>
      </c>
      <c r="E275" t="s">
        <v>73</v>
      </c>
      <c r="F275">
        <v>80</v>
      </c>
      <c r="G275" t="s">
        <v>1147</v>
      </c>
      <c r="H275" t="s">
        <v>26</v>
      </c>
      <c r="I275" t="s">
        <v>1148</v>
      </c>
      <c r="J275" t="s">
        <v>63</v>
      </c>
      <c r="K275" t="s">
        <v>29</v>
      </c>
      <c r="L275">
        <v>8</v>
      </c>
      <c r="M275">
        <v>778.44</v>
      </c>
      <c r="N275" t="s">
        <v>1147</v>
      </c>
      <c r="P275" t="s">
        <v>40</v>
      </c>
      <c r="Q275">
        <v>21.666666666666671</v>
      </c>
      <c r="R275">
        <v>15.33333333333333</v>
      </c>
      <c r="S275">
        <v>1</v>
      </c>
      <c r="T275">
        <v>6</v>
      </c>
    </row>
    <row r="276" spans="1:20" x14ac:dyDescent="0.3">
      <c r="A276" t="s">
        <v>1149</v>
      </c>
      <c r="B276" t="s">
        <v>1150</v>
      </c>
      <c r="C276" t="s">
        <v>34</v>
      </c>
      <c r="D276" t="s">
        <v>23</v>
      </c>
      <c r="E276" t="s">
        <v>160</v>
      </c>
      <c r="F276">
        <v>80</v>
      </c>
      <c r="G276" t="s">
        <v>1151</v>
      </c>
      <c r="H276" t="s">
        <v>38</v>
      </c>
      <c r="I276" t="s">
        <v>1152</v>
      </c>
      <c r="J276" t="s">
        <v>63</v>
      </c>
      <c r="K276" t="s">
        <v>29</v>
      </c>
      <c r="L276">
        <v>7</v>
      </c>
      <c r="M276">
        <v>818.36</v>
      </c>
      <c r="N276" t="s">
        <v>1151</v>
      </c>
      <c r="P276" t="s">
        <v>40</v>
      </c>
      <c r="Q276">
        <v>10.05263157894737</v>
      </c>
      <c r="R276">
        <v>5.3157894736842106</v>
      </c>
      <c r="S276">
        <v>4</v>
      </c>
      <c r="T276">
        <v>6.25</v>
      </c>
    </row>
    <row r="277" spans="1:20" x14ac:dyDescent="0.3">
      <c r="A277" t="s">
        <v>1153</v>
      </c>
      <c r="B277" t="s">
        <v>1154</v>
      </c>
      <c r="C277" t="s">
        <v>51</v>
      </c>
      <c r="D277" t="s">
        <v>23</v>
      </c>
      <c r="E277" t="s">
        <v>73</v>
      </c>
      <c r="F277">
        <v>150</v>
      </c>
      <c r="G277" t="s">
        <v>467</v>
      </c>
      <c r="H277" t="s">
        <v>61</v>
      </c>
      <c r="I277" t="s">
        <v>1155</v>
      </c>
      <c r="J277" t="s">
        <v>70</v>
      </c>
      <c r="K277" t="s">
        <v>29</v>
      </c>
      <c r="L277">
        <v>5</v>
      </c>
      <c r="M277">
        <v>1978.68</v>
      </c>
      <c r="N277" t="s">
        <v>467</v>
      </c>
      <c r="O277" t="s">
        <v>1156</v>
      </c>
      <c r="P277" t="s">
        <v>31</v>
      </c>
      <c r="Q277">
        <v>14.25</v>
      </c>
      <c r="R277">
        <v>7.75</v>
      </c>
      <c r="S277">
        <v>3</v>
      </c>
      <c r="T277">
        <v>5</v>
      </c>
    </row>
    <row r="278" spans="1:20" x14ac:dyDescent="0.3">
      <c r="A278" t="s">
        <v>1157</v>
      </c>
      <c r="B278" t="s">
        <v>1158</v>
      </c>
      <c r="C278" t="s">
        <v>51</v>
      </c>
      <c r="D278" t="s">
        <v>35</v>
      </c>
      <c r="E278" t="s">
        <v>36</v>
      </c>
      <c r="F278">
        <v>150</v>
      </c>
      <c r="G278" t="s">
        <v>1159</v>
      </c>
      <c r="H278" t="s">
        <v>26</v>
      </c>
      <c r="I278" t="s">
        <v>1160</v>
      </c>
      <c r="J278" t="s">
        <v>28</v>
      </c>
      <c r="K278" t="s">
        <v>29</v>
      </c>
      <c r="L278">
        <v>10</v>
      </c>
      <c r="M278">
        <v>342.28</v>
      </c>
      <c r="N278" t="s">
        <v>1159</v>
      </c>
      <c r="P278" t="s">
        <v>40</v>
      </c>
      <c r="Q278">
        <v>16.111111111111111</v>
      </c>
      <c r="R278">
        <v>9.5555555555555554</v>
      </c>
      <c r="S278">
        <v>3</v>
      </c>
      <c r="T278">
        <v>6</v>
      </c>
    </row>
    <row r="279" spans="1:20" x14ac:dyDescent="0.3">
      <c r="A279" t="s">
        <v>1161</v>
      </c>
      <c r="B279" t="s">
        <v>1162</v>
      </c>
      <c r="C279" t="s">
        <v>111</v>
      </c>
      <c r="D279" t="s">
        <v>23</v>
      </c>
      <c r="E279" t="s">
        <v>160</v>
      </c>
      <c r="F279">
        <v>80</v>
      </c>
      <c r="G279" t="s">
        <v>1163</v>
      </c>
      <c r="H279" t="s">
        <v>26</v>
      </c>
      <c r="I279" t="s">
        <v>1164</v>
      </c>
      <c r="J279" t="s">
        <v>70</v>
      </c>
      <c r="K279" t="s">
        <v>29</v>
      </c>
      <c r="L279">
        <v>8</v>
      </c>
      <c r="M279">
        <v>2338.44</v>
      </c>
      <c r="N279" t="s">
        <v>1163</v>
      </c>
      <c r="P279" t="s">
        <v>40</v>
      </c>
      <c r="S279">
        <v>1</v>
      </c>
      <c r="T279">
        <v>4</v>
      </c>
    </row>
    <row r="280" spans="1:20" x14ac:dyDescent="0.3">
      <c r="A280" t="s">
        <v>1165</v>
      </c>
      <c r="B280" t="s">
        <v>1166</v>
      </c>
      <c r="C280" t="s">
        <v>82</v>
      </c>
      <c r="D280" t="s">
        <v>23</v>
      </c>
      <c r="E280" t="s">
        <v>117</v>
      </c>
      <c r="F280">
        <v>35</v>
      </c>
      <c r="G280" t="s">
        <v>588</v>
      </c>
      <c r="H280" t="s">
        <v>38</v>
      </c>
      <c r="I280" t="s">
        <v>1167</v>
      </c>
      <c r="J280" t="s">
        <v>63</v>
      </c>
      <c r="K280" t="s">
        <v>29</v>
      </c>
      <c r="L280">
        <v>6</v>
      </c>
      <c r="M280">
        <v>698.6</v>
      </c>
      <c r="N280" t="s">
        <v>588</v>
      </c>
      <c r="P280" t="s">
        <v>40</v>
      </c>
      <c r="Q280">
        <v>20</v>
      </c>
      <c r="R280">
        <v>9.6666666666666661</v>
      </c>
      <c r="S280">
        <v>5</v>
      </c>
      <c r="T280">
        <v>6.4</v>
      </c>
    </row>
    <row r="281" spans="1:20" x14ac:dyDescent="0.3">
      <c r="A281" t="s">
        <v>1168</v>
      </c>
      <c r="B281" t="s">
        <v>1169</v>
      </c>
      <c r="C281" t="s">
        <v>51</v>
      </c>
      <c r="D281" t="s">
        <v>35</v>
      </c>
      <c r="E281" t="s">
        <v>36</v>
      </c>
      <c r="F281">
        <v>3000</v>
      </c>
      <c r="G281" t="s">
        <v>1170</v>
      </c>
      <c r="H281" t="s">
        <v>99</v>
      </c>
      <c r="I281" t="s">
        <v>1171</v>
      </c>
      <c r="J281" t="s">
        <v>28</v>
      </c>
      <c r="K281" t="s">
        <v>29</v>
      </c>
      <c r="L281">
        <v>7</v>
      </c>
      <c r="M281">
        <v>294.52</v>
      </c>
      <c r="N281" t="s">
        <v>1170</v>
      </c>
      <c r="P281" t="s">
        <v>40</v>
      </c>
      <c r="Q281">
        <v>4.2</v>
      </c>
      <c r="R281">
        <v>2.2666666666666671</v>
      </c>
      <c r="S281">
        <v>4</v>
      </c>
      <c r="T281">
        <v>3.25</v>
      </c>
    </row>
    <row r="282" spans="1:20" x14ac:dyDescent="0.3">
      <c r="A282" t="s">
        <v>1172</v>
      </c>
      <c r="B282" t="s">
        <v>1173</v>
      </c>
      <c r="C282" t="s">
        <v>82</v>
      </c>
      <c r="D282" t="s">
        <v>43</v>
      </c>
      <c r="E282" t="s">
        <v>78</v>
      </c>
      <c r="F282">
        <v>80</v>
      </c>
      <c r="G282" t="s">
        <v>1174</v>
      </c>
      <c r="H282" t="s">
        <v>26</v>
      </c>
      <c r="I282" t="s">
        <v>1175</v>
      </c>
      <c r="J282" t="s">
        <v>28</v>
      </c>
      <c r="K282" t="s">
        <v>48</v>
      </c>
      <c r="L282">
        <v>10</v>
      </c>
      <c r="M282">
        <v>342.28</v>
      </c>
      <c r="N282" t="s">
        <v>1174</v>
      </c>
      <c r="P282" t="s">
        <v>40</v>
      </c>
      <c r="Q282">
        <v>17.5</v>
      </c>
      <c r="R282">
        <v>9.7777777777777786</v>
      </c>
      <c r="S282">
        <v>3</v>
      </c>
      <c r="T282">
        <v>7</v>
      </c>
    </row>
    <row r="283" spans="1:20" x14ac:dyDescent="0.3">
      <c r="A283" t="s">
        <v>1176</v>
      </c>
      <c r="B283" t="s">
        <v>1177</v>
      </c>
      <c r="C283" t="s">
        <v>51</v>
      </c>
      <c r="D283" t="s">
        <v>23</v>
      </c>
      <c r="E283" t="s">
        <v>24</v>
      </c>
      <c r="F283">
        <v>150</v>
      </c>
      <c r="G283" t="s">
        <v>1178</v>
      </c>
      <c r="H283" t="s">
        <v>46</v>
      </c>
      <c r="I283" t="s">
        <v>1179</v>
      </c>
      <c r="J283" t="s">
        <v>70</v>
      </c>
      <c r="K283" t="s">
        <v>29</v>
      </c>
      <c r="L283">
        <v>6</v>
      </c>
      <c r="M283">
        <v>2098.6</v>
      </c>
      <c r="N283" t="s">
        <v>1178</v>
      </c>
      <c r="O283" t="s">
        <v>1180</v>
      </c>
      <c r="P283" t="s">
        <v>31</v>
      </c>
      <c r="Q283">
        <v>6.5</v>
      </c>
      <c r="R283">
        <v>3.666666666666667</v>
      </c>
      <c r="S283">
        <v>5</v>
      </c>
      <c r="T283">
        <v>5.6</v>
      </c>
    </row>
    <row r="284" spans="1:20" x14ac:dyDescent="0.3">
      <c r="A284" t="s">
        <v>1181</v>
      </c>
      <c r="B284" t="s">
        <v>1182</v>
      </c>
      <c r="C284" t="s">
        <v>97</v>
      </c>
      <c r="D284" t="s">
        <v>23</v>
      </c>
      <c r="E284" t="s">
        <v>73</v>
      </c>
      <c r="F284">
        <v>1200</v>
      </c>
      <c r="G284" t="s">
        <v>1183</v>
      </c>
      <c r="H284" t="s">
        <v>46</v>
      </c>
      <c r="I284" t="s">
        <v>1184</v>
      </c>
      <c r="J284" t="s">
        <v>56</v>
      </c>
      <c r="K284" t="s">
        <v>29</v>
      </c>
      <c r="L284">
        <v>9</v>
      </c>
      <c r="M284">
        <v>80.36</v>
      </c>
      <c r="N284" t="s">
        <v>1183</v>
      </c>
      <c r="P284" t="s">
        <v>40</v>
      </c>
      <c r="Q284">
        <v>14.58823529411765</v>
      </c>
      <c r="R284">
        <v>8.5294117647058822</v>
      </c>
      <c r="S284">
        <v>1</v>
      </c>
      <c r="T284">
        <v>9</v>
      </c>
    </row>
    <row r="285" spans="1:20" x14ac:dyDescent="0.3">
      <c r="A285" t="s">
        <v>1185</v>
      </c>
      <c r="B285" t="s">
        <v>701</v>
      </c>
      <c r="C285" t="s">
        <v>97</v>
      </c>
      <c r="D285" t="s">
        <v>23</v>
      </c>
      <c r="E285" t="s">
        <v>87</v>
      </c>
      <c r="F285">
        <v>80</v>
      </c>
      <c r="G285" t="s">
        <v>122</v>
      </c>
      <c r="H285" t="s">
        <v>46</v>
      </c>
      <c r="I285" t="s">
        <v>1186</v>
      </c>
      <c r="J285" t="s">
        <v>28</v>
      </c>
      <c r="K285" t="s">
        <v>29</v>
      </c>
      <c r="L285">
        <v>7</v>
      </c>
      <c r="M285">
        <v>294.52</v>
      </c>
      <c r="N285" t="s">
        <v>122</v>
      </c>
      <c r="O285" t="s">
        <v>1187</v>
      </c>
      <c r="P285" t="s">
        <v>31</v>
      </c>
      <c r="Q285">
        <v>7</v>
      </c>
      <c r="R285">
        <v>3.666666666666667</v>
      </c>
      <c r="S285">
        <v>4</v>
      </c>
      <c r="T285">
        <v>4</v>
      </c>
    </row>
    <row r="286" spans="1:20" x14ac:dyDescent="0.3">
      <c r="A286" t="s">
        <v>1188</v>
      </c>
      <c r="B286" t="s">
        <v>1189</v>
      </c>
      <c r="C286" t="s">
        <v>59</v>
      </c>
      <c r="D286" t="s">
        <v>23</v>
      </c>
      <c r="E286" t="s">
        <v>117</v>
      </c>
      <c r="F286">
        <v>150</v>
      </c>
      <c r="G286" t="s">
        <v>1190</v>
      </c>
      <c r="H286" t="s">
        <v>54</v>
      </c>
      <c r="I286" t="s">
        <v>1191</v>
      </c>
      <c r="J286" t="s">
        <v>28</v>
      </c>
      <c r="K286" t="s">
        <v>48</v>
      </c>
      <c r="L286">
        <v>7</v>
      </c>
      <c r="M286">
        <v>294.52</v>
      </c>
      <c r="N286" t="s">
        <v>1190</v>
      </c>
      <c r="P286" t="s">
        <v>40</v>
      </c>
      <c r="Q286">
        <v>16.285714285714281</v>
      </c>
      <c r="R286">
        <v>9.8571428571428577</v>
      </c>
      <c r="S286">
        <v>3</v>
      </c>
      <c r="T286">
        <v>4.333333333333333</v>
      </c>
    </row>
    <row r="287" spans="1:20" x14ac:dyDescent="0.3">
      <c r="A287" t="s">
        <v>1192</v>
      </c>
      <c r="B287" t="s">
        <v>1193</v>
      </c>
      <c r="C287" t="s">
        <v>51</v>
      </c>
      <c r="D287" t="s">
        <v>23</v>
      </c>
      <c r="E287" t="s">
        <v>160</v>
      </c>
      <c r="F287">
        <v>400</v>
      </c>
      <c r="G287" t="s">
        <v>732</v>
      </c>
      <c r="H287" t="s">
        <v>26</v>
      </c>
      <c r="I287" t="s">
        <v>1194</v>
      </c>
      <c r="J287" t="s">
        <v>28</v>
      </c>
      <c r="K287" t="s">
        <v>29</v>
      </c>
      <c r="L287">
        <v>7</v>
      </c>
      <c r="M287">
        <v>294.52</v>
      </c>
      <c r="N287" t="s">
        <v>732</v>
      </c>
      <c r="P287" t="s">
        <v>40</v>
      </c>
      <c r="Q287">
        <v>18</v>
      </c>
      <c r="R287">
        <v>14</v>
      </c>
      <c r="S287">
        <v>1</v>
      </c>
      <c r="T287">
        <v>6</v>
      </c>
    </row>
    <row r="288" spans="1:20" x14ac:dyDescent="0.3">
      <c r="A288" t="s">
        <v>1195</v>
      </c>
      <c r="B288" t="s">
        <v>1196</v>
      </c>
      <c r="C288" t="s">
        <v>34</v>
      </c>
      <c r="D288" t="s">
        <v>35</v>
      </c>
      <c r="E288" t="s">
        <v>36</v>
      </c>
      <c r="F288">
        <v>80</v>
      </c>
      <c r="G288" t="s">
        <v>1014</v>
      </c>
      <c r="H288" t="s">
        <v>26</v>
      </c>
      <c r="I288" t="s">
        <v>1197</v>
      </c>
      <c r="J288" t="s">
        <v>70</v>
      </c>
      <c r="K288" t="s">
        <v>48</v>
      </c>
      <c r="L288">
        <v>7</v>
      </c>
      <c r="M288">
        <v>2218.52</v>
      </c>
      <c r="N288" t="s">
        <v>1014</v>
      </c>
      <c r="P288" t="s">
        <v>40</v>
      </c>
      <c r="Q288">
        <v>4.2222222222222223</v>
      </c>
      <c r="R288">
        <v>1.666666666666667</v>
      </c>
      <c r="S288">
        <v>5</v>
      </c>
      <c r="T288">
        <v>4.8</v>
      </c>
    </row>
    <row r="289" spans="1:20" x14ac:dyDescent="0.3">
      <c r="A289" t="s">
        <v>1198</v>
      </c>
      <c r="B289" t="s">
        <v>1199</v>
      </c>
      <c r="C289" t="s">
        <v>67</v>
      </c>
      <c r="D289" t="s">
        <v>23</v>
      </c>
      <c r="E289" t="s">
        <v>73</v>
      </c>
      <c r="F289">
        <v>150</v>
      </c>
      <c r="G289" t="s">
        <v>299</v>
      </c>
      <c r="H289" t="s">
        <v>54</v>
      </c>
      <c r="I289" t="s">
        <v>1200</v>
      </c>
      <c r="J289" t="s">
        <v>63</v>
      </c>
      <c r="K289" t="s">
        <v>48</v>
      </c>
      <c r="L289">
        <v>9</v>
      </c>
      <c r="M289">
        <v>818.36</v>
      </c>
      <c r="N289" t="s">
        <v>299</v>
      </c>
      <c r="P289" t="s">
        <v>40</v>
      </c>
      <c r="Q289">
        <v>7.9545454545454541</v>
      </c>
      <c r="R289">
        <v>3.7727272727272729</v>
      </c>
      <c r="S289">
        <v>2</v>
      </c>
      <c r="T289">
        <v>4.5</v>
      </c>
    </row>
    <row r="290" spans="1:20" x14ac:dyDescent="0.3">
      <c r="A290" t="s">
        <v>1201</v>
      </c>
      <c r="B290" t="s">
        <v>239</v>
      </c>
      <c r="C290" t="s">
        <v>34</v>
      </c>
      <c r="D290" t="s">
        <v>43</v>
      </c>
      <c r="E290" t="s">
        <v>78</v>
      </c>
      <c r="F290">
        <v>80</v>
      </c>
      <c r="G290" t="s">
        <v>267</v>
      </c>
      <c r="H290" t="s">
        <v>99</v>
      </c>
      <c r="I290" t="s">
        <v>1202</v>
      </c>
      <c r="J290" t="s">
        <v>28</v>
      </c>
      <c r="K290" t="s">
        <v>29</v>
      </c>
      <c r="L290">
        <v>10</v>
      </c>
      <c r="M290">
        <v>342.28</v>
      </c>
      <c r="N290" t="s">
        <v>267</v>
      </c>
      <c r="O290" t="s">
        <v>1203</v>
      </c>
      <c r="P290" t="s">
        <v>31</v>
      </c>
      <c r="Q290">
        <v>10.33333333333333</v>
      </c>
      <c r="R290">
        <v>3</v>
      </c>
      <c r="S290">
        <v>2</v>
      </c>
      <c r="T290">
        <v>2</v>
      </c>
    </row>
    <row r="291" spans="1:20" x14ac:dyDescent="0.3">
      <c r="A291" t="s">
        <v>1204</v>
      </c>
      <c r="B291" t="s">
        <v>696</v>
      </c>
      <c r="C291" t="s">
        <v>59</v>
      </c>
      <c r="D291" t="s">
        <v>43</v>
      </c>
      <c r="E291" t="s">
        <v>78</v>
      </c>
      <c r="F291">
        <v>35</v>
      </c>
      <c r="G291" t="s">
        <v>1205</v>
      </c>
      <c r="H291" t="s">
        <v>26</v>
      </c>
      <c r="I291" t="s">
        <v>1206</v>
      </c>
      <c r="J291" t="s">
        <v>70</v>
      </c>
      <c r="K291" t="s">
        <v>48</v>
      </c>
      <c r="L291">
        <v>1</v>
      </c>
      <c r="M291">
        <v>1499</v>
      </c>
      <c r="N291" t="s">
        <v>1205</v>
      </c>
      <c r="O291" t="s">
        <v>1207</v>
      </c>
      <c r="P291" t="s">
        <v>31</v>
      </c>
      <c r="Q291">
        <v>10.69230769230769</v>
      </c>
      <c r="R291">
        <v>7</v>
      </c>
      <c r="S291">
        <v>2</v>
      </c>
      <c r="T291">
        <v>7</v>
      </c>
    </row>
    <row r="292" spans="1:20" x14ac:dyDescent="0.3">
      <c r="A292" t="s">
        <v>1208</v>
      </c>
      <c r="B292" t="s">
        <v>1209</v>
      </c>
      <c r="C292" t="s">
        <v>59</v>
      </c>
      <c r="D292" t="s">
        <v>138</v>
      </c>
      <c r="E292" t="s">
        <v>138</v>
      </c>
      <c r="F292">
        <v>1200</v>
      </c>
      <c r="G292" t="s">
        <v>1210</v>
      </c>
      <c r="H292" t="s">
        <v>22</v>
      </c>
      <c r="I292" t="s">
        <v>1211</v>
      </c>
      <c r="J292" t="s">
        <v>28</v>
      </c>
      <c r="K292" t="s">
        <v>48</v>
      </c>
      <c r="L292">
        <v>4</v>
      </c>
      <c r="M292">
        <v>246.76</v>
      </c>
      <c r="N292" t="s">
        <v>1210</v>
      </c>
      <c r="O292" t="s">
        <v>1212</v>
      </c>
      <c r="P292" t="s">
        <v>31</v>
      </c>
      <c r="Q292">
        <v>11</v>
      </c>
      <c r="R292">
        <v>6.2</v>
      </c>
      <c r="S292">
        <v>4</v>
      </c>
      <c r="T292">
        <v>7</v>
      </c>
    </row>
    <row r="293" spans="1:20" x14ac:dyDescent="0.3">
      <c r="A293" t="s">
        <v>1213</v>
      </c>
      <c r="B293" t="s">
        <v>1214</v>
      </c>
      <c r="C293" t="s">
        <v>59</v>
      </c>
      <c r="D293" t="s">
        <v>43</v>
      </c>
      <c r="E293" t="s">
        <v>44</v>
      </c>
      <c r="F293">
        <v>3000</v>
      </c>
      <c r="G293" t="s">
        <v>1215</v>
      </c>
      <c r="H293" t="s">
        <v>26</v>
      </c>
      <c r="I293" t="s">
        <v>1216</v>
      </c>
      <c r="J293" t="s">
        <v>28</v>
      </c>
      <c r="K293" t="s">
        <v>48</v>
      </c>
      <c r="L293">
        <v>8</v>
      </c>
      <c r="M293">
        <v>294.52</v>
      </c>
      <c r="N293" t="s">
        <v>1215</v>
      </c>
      <c r="O293" t="s">
        <v>648</v>
      </c>
      <c r="P293" t="s">
        <v>31</v>
      </c>
      <c r="Q293">
        <v>4.6842105263157894</v>
      </c>
      <c r="R293">
        <v>2.1578947368421049</v>
      </c>
      <c r="S293">
        <v>3</v>
      </c>
      <c r="T293">
        <v>5.666666666666667</v>
      </c>
    </row>
    <row r="294" spans="1:20" x14ac:dyDescent="0.3">
      <c r="A294" t="s">
        <v>1217</v>
      </c>
      <c r="B294" t="s">
        <v>1115</v>
      </c>
      <c r="C294" t="s">
        <v>111</v>
      </c>
      <c r="D294" t="s">
        <v>35</v>
      </c>
      <c r="E294" t="s">
        <v>36</v>
      </c>
      <c r="F294">
        <v>35</v>
      </c>
      <c r="G294" t="s">
        <v>1218</v>
      </c>
      <c r="H294" t="s">
        <v>26</v>
      </c>
      <c r="I294" t="s">
        <v>1219</v>
      </c>
      <c r="J294" t="s">
        <v>56</v>
      </c>
      <c r="K294" t="s">
        <v>48</v>
      </c>
      <c r="L294">
        <v>7</v>
      </c>
      <c r="M294">
        <v>72.52</v>
      </c>
      <c r="N294" t="s">
        <v>1218</v>
      </c>
      <c r="O294" t="s">
        <v>1220</v>
      </c>
      <c r="P294" t="s">
        <v>31</v>
      </c>
      <c r="Q294">
        <v>2.7272727272727271</v>
      </c>
      <c r="R294">
        <v>1.454545454545455</v>
      </c>
      <c r="S294">
        <v>6</v>
      </c>
      <c r="T294">
        <v>8</v>
      </c>
    </row>
    <row r="295" spans="1:20" x14ac:dyDescent="0.3">
      <c r="A295" t="s">
        <v>1221</v>
      </c>
      <c r="B295" t="s">
        <v>1222</v>
      </c>
      <c r="C295" t="s">
        <v>34</v>
      </c>
      <c r="D295" t="s">
        <v>23</v>
      </c>
      <c r="E295" t="s">
        <v>87</v>
      </c>
      <c r="F295">
        <v>400</v>
      </c>
      <c r="G295" t="s">
        <v>1223</v>
      </c>
      <c r="H295" t="s">
        <v>99</v>
      </c>
      <c r="I295" t="s">
        <v>1224</v>
      </c>
      <c r="J295" t="s">
        <v>56</v>
      </c>
      <c r="K295" t="s">
        <v>29</v>
      </c>
      <c r="L295">
        <v>9</v>
      </c>
      <c r="M295">
        <v>80.36</v>
      </c>
      <c r="N295" t="s">
        <v>1223</v>
      </c>
      <c r="O295" t="s">
        <v>1225</v>
      </c>
      <c r="P295" t="s">
        <v>31</v>
      </c>
      <c r="Q295">
        <v>4.1428571428571432</v>
      </c>
      <c r="R295">
        <v>1.714285714285714</v>
      </c>
      <c r="S295">
        <v>3</v>
      </c>
      <c r="T295">
        <v>5.333333333333333</v>
      </c>
    </row>
    <row r="296" spans="1:20" x14ac:dyDescent="0.3">
      <c r="A296" t="s">
        <v>1226</v>
      </c>
      <c r="B296" t="s">
        <v>1227</v>
      </c>
      <c r="C296" t="s">
        <v>97</v>
      </c>
      <c r="D296" t="s">
        <v>138</v>
      </c>
      <c r="E296" t="s">
        <v>138</v>
      </c>
      <c r="F296">
        <v>80</v>
      </c>
      <c r="G296" t="s">
        <v>574</v>
      </c>
      <c r="H296" t="s">
        <v>46</v>
      </c>
      <c r="I296" t="s">
        <v>1228</v>
      </c>
      <c r="J296" t="s">
        <v>28</v>
      </c>
      <c r="K296" t="s">
        <v>48</v>
      </c>
      <c r="L296">
        <v>6</v>
      </c>
      <c r="M296">
        <v>278.60000000000002</v>
      </c>
      <c r="N296" t="s">
        <v>574</v>
      </c>
      <c r="P296" t="s">
        <v>40</v>
      </c>
      <c r="Q296">
        <v>17.777777777777779</v>
      </c>
      <c r="R296">
        <v>9.3333333333333339</v>
      </c>
      <c r="S296">
        <v>7</v>
      </c>
      <c r="T296">
        <v>5</v>
      </c>
    </row>
    <row r="297" spans="1:20" x14ac:dyDescent="0.3">
      <c r="A297" t="s">
        <v>1229</v>
      </c>
      <c r="B297" t="s">
        <v>1230</v>
      </c>
      <c r="C297" t="s">
        <v>34</v>
      </c>
      <c r="D297" t="s">
        <v>23</v>
      </c>
      <c r="E297" t="s">
        <v>117</v>
      </c>
      <c r="F297">
        <v>12</v>
      </c>
      <c r="G297" t="s">
        <v>1231</v>
      </c>
      <c r="H297" t="s">
        <v>54</v>
      </c>
      <c r="I297" t="s">
        <v>1232</v>
      </c>
      <c r="J297" t="s">
        <v>70</v>
      </c>
      <c r="K297" t="s">
        <v>48</v>
      </c>
      <c r="L297">
        <v>6</v>
      </c>
      <c r="M297">
        <v>2098.6</v>
      </c>
      <c r="N297" t="s">
        <v>1231</v>
      </c>
      <c r="O297" t="s">
        <v>1233</v>
      </c>
      <c r="P297" t="s">
        <v>31</v>
      </c>
      <c r="Q297">
        <v>2.125</v>
      </c>
      <c r="R297">
        <v>0.5</v>
      </c>
      <c r="S297">
        <v>2</v>
      </c>
      <c r="T297">
        <v>3</v>
      </c>
    </row>
    <row r="298" spans="1:20" x14ac:dyDescent="0.3">
      <c r="A298" t="s">
        <v>1234</v>
      </c>
      <c r="B298" t="s">
        <v>626</v>
      </c>
      <c r="C298" t="s">
        <v>97</v>
      </c>
      <c r="D298" t="s">
        <v>127</v>
      </c>
      <c r="E298" t="s">
        <v>133</v>
      </c>
      <c r="F298">
        <v>12</v>
      </c>
      <c r="G298" t="s">
        <v>1235</v>
      </c>
      <c r="H298" t="s">
        <v>54</v>
      </c>
      <c r="I298" t="s">
        <v>1236</v>
      </c>
      <c r="J298" t="s">
        <v>70</v>
      </c>
      <c r="K298" t="s">
        <v>48</v>
      </c>
      <c r="L298">
        <v>5</v>
      </c>
      <c r="M298">
        <v>1978.68</v>
      </c>
      <c r="N298" t="s">
        <v>1235</v>
      </c>
      <c r="P298" t="s">
        <v>40</v>
      </c>
      <c r="Q298">
        <v>11</v>
      </c>
      <c r="R298">
        <v>7</v>
      </c>
      <c r="S298">
        <v>5</v>
      </c>
      <c r="T298">
        <v>5</v>
      </c>
    </row>
    <row r="299" spans="1:20" x14ac:dyDescent="0.3">
      <c r="A299" t="s">
        <v>1237</v>
      </c>
      <c r="B299" t="s">
        <v>1238</v>
      </c>
      <c r="C299" t="s">
        <v>97</v>
      </c>
      <c r="D299" t="s">
        <v>43</v>
      </c>
      <c r="E299" t="s">
        <v>44</v>
      </c>
      <c r="F299">
        <v>12</v>
      </c>
      <c r="G299" t="s">
        <v>1239</v>
      </c>
      <c r="H299" t="s">
        <v>26</v>
      </c>
      <c r="I299" t="s">
        <v>1240</v>
      </c>
      <c r="J299" t="s">
        <v>56</v>
      </c>
      <c r="K299" t="s">
        <v>48</v>
      </c>
      <c r="L299">
        <v>10</v>
      </c>
      <c r="M299">
        <v>84.28</v>
      </c>
      <c r="N299" t="s">
        <v>1239</v>
      </c>
      <c r="P299" t="s">
        <v>40</v>
      </c>
      <c r="Q299">
        <v>5.1904761904761907</v>
      </c>
      <c r="R299">
        <v>2.285714285714286</v>
      </c>
      <c r="S299">
        <v>1</v>
      </c>
      <c r="T299">
        <v>3</v>
      </c>
    </row>
    <row r="300" spans="1:20" x14ac:dyDescent="0.3">
      <c r="A300" t="s">
        <v>1241</v>
      </c>
      <c r="B300" t="s">
        <v>1242</v>
      </c>
      <c r="C300" t="s">
        <v>51</v>
      </c>
      <c r="D300" t="s">
        <v>23</v>
      </c>
      <c r="E300" t="s">
        <v>87</v>
      </c>
      <c r="F300">
        <v>400</v>
      </c>
      <c r="G300" t="s">
        <v>1243</v>
      </c>
      <c r="H300" t="s">
        <v>46</v>
      </c>
      <c r="I300" t="s">
        <v>1244</v>
      </c>
      <c r="J300" t="s">
        <v>70</v>
      </c>
      <c r="K300" t="s">
        <v>48</v>
      </c>
      <c r="L300">
        <v>5</v>
      </c>
      <c r="M300">
        <v>1978.68</v>
      </c>
      <c r="N300" t="s">
        <v>1243</v>
      </c>
      <c r="P300" t="s">
        <v>40</v>
      </c>
      <c r="Q300">
        <v>23</v>
      </c>
      <c r="R300">
        <v>16</v>
      </c>
      <c r="S300">
        <v>3</v>
      </c>
      <c r="T300">
        <v>4.333333333333333</v>
      </c>
    </row>
    <row r="301" spans="1:20" x14ac:dyDescent="0.3">
      <c r="A301" t="s">
        <v>1245</v>
      </c>
      <c r="B301" t="s">
        <v>1246</v>
      </c>
      <c r="C301" t="s">
        <v>97</v>
      </c>
      <c r="D301" t="s">
        <v>35</v>
      </c>
      <c r="E301" t="s">
        <v>52</v>
      </c>
      <c r="F301">
        <v>400</v>
      </c>
      <c r="G301" t="s">
        <v>1247</v>
      </c>
      <c r="H301" t="s">
        <v>54</v>
      </c>
      <c r="I301" t="s">
        <v>1248</v>
      </c>
      <c r="J301" t="s">
        <v>63</v>
      </c>
      <c r="K301" t="s">
        <v>29</v>
      </c>
      <c r="L301">
        <v>8</v>
      </c>
      <c r="M301">
        <v>778.44</v>
      </c>
      <c r="N301" t="s">
        <v>1247</v>
      </c>
      <c r="P301" t="s">
        <v>40</v>
      </c>
      <c r="Q301">
        <v>2.2000000000000002</v>
      </c>
      <c r="R301">
        <v>0.65</v>
      </c>
      <c r="S301">
        <v>2</v>
      </c>
      <c r="T301">
        <v>5.5</v>
      </c>
    </row>
    <row r="302" spans="1:20" x14ac:dyDescent="0.3">
      <c r="A302" t="s">
        <v>1249</v>
      </c>
      <c r="B302" t="s">
        <v>1250</v>
      </c>
      <c r="C302" t="s">
        <v>111</v>
      </c>
      <c r="D302" t="s">
        <v>35</v>
      </c>
      <c r="E302" t="s">
        <v>52</v>
      </c>
      <c r="F302">
        <v>150</v>
      </c>
      <c r="G302" t="s">
        <v>1251</v>
      </c>
      <c r="H302" t="s">
        <v>38</v>
      </c>
      <c r="I302" t="s">
        <v>1252</v>
      </c>
      <c r="J302" t="s">
        <v>28</v>
      </c>
      <c r="K302" t="s">
        <v>29</v>
      </c>
      <c r="L302">
        <v>9</v>
      </c>
      <c r="M302">
        <v>326.36</v>
      </c>
      <c r="N302" t="s">
        <v>1251</v>
      </c>
      <c r="P302" t="s">
        <v>40</v>
      </c>
      <c r="Q302">
        <v>7.2</v>
      </c>
      <c r="R302">
        <v>4.2666666666666666</v>
      </c>
      <c r="S302">
        <v>1</v>
      </c>
      <c r="T302">
        <v>7</v>
      </c>
    </row>
    <row r="303" spans="1:20" x14ac:dyDescent="0.3">
      <c r="A303" t="s">
        <v>1253</v>
      </c>
      <c r="B303" t="s">
        <v>1254</v>
      </c>
      <c r="C303" t="s">
        <v>82</v>
      </c>
      <c r="D303" t="s">
        <v>35</v>
      </c>
      <c r="E303" t="s">
        <v>52</v>
      </c>
      <c r="F303">
        <v>35</v>
      </c>
      <c r="G303" t="s">
        <v>1255</v>
      </c>
      <c r="H303" t="s">
        <v>46</v>
      </c>
      <c r="I303" t="s">
        <v>1256</v>
      </c>
      <c r="J303" t="s">
        <v>28</v>
      </c>
      <c r="K303" t="s">
        <v>29</v>
      </c>
      <c r="L303">
        <v>3</v>
      </c>
      <c r="M303">
        <v>230.84</v>
      </c>
      <c r="N303" t="s">
        <v>1255</v>
      </c>
      <c r="O303" t="s">
        <v>353</v>
      </c>
      <c r="P303" t="s">
        <v>31</v>
      </c>
      <c r="Q303">
        <v>2.333333333333333</v>
      </c>
      <c r="R303">
        <v>0.6</v>
      </c>
      <c r="S303">
        <v>4</v>
      </c>
      <c r="T303">
        <v>4.25</v>
      </c>
    </row>
    <row r="304" spans="1:20" x14ac:dyDescent="0.3">
      <c r="A304" t="s">
        <v>1257</v>
      </c>
      <c r="B304" t="s">
        <v>1258</v>
      </c>
      <c r="C304" t="s">
        <v>51</v>
      </c>
      <c r="D304" t="s">
        <v>23</v>
      </c>
      <c r="E304" t="s">
        <v>160</v>
      </c>
      <c r="F304">
        <v>400</v>
      </c>
      <c r="G304" t="s">
        <v>1259</v>
      </c>
      <c r="H304" t="s">
        <v>46</v>
      </c>
      <c r="I304" t="s">
        <v>1260</v>
      </c>
      <c r="J304" t="s">
        <v>70</v>
      </c>
      <c r="K304" t="s">
        <v>29</v>
      </c>
      <c r="L304">
        <v>2</v>
      </c>
      <c r="M304">
        <v>1618.92</v>
      </c>
      <c r="N304" t="s">
        <v>1259</v>
      </c>
      <c r="P304" t="s">
        <v>40</v>
      </c>
      <c r="Q304">
        <v>16.25</v>
      </c>
      <c r="R304">
        <v>9.25</v>
      </c>
      <c r="S304">
        <v>1</v>
      </c>
      <c r="T304">
        <v>9</v>
      </c>
    </row>
    <row r="305" spans="1:20" x14ac:dyDescent="0.3">
      <c r="A305" t="s">
        <v>1261</v>
      </c>
      <c r="B305" t="s">
        <v>1262</v>
      </c>
      <c r="C305" t="s">
        <v>97</v>
      </c>
      <c r="D305" t="s">
        <v>23</v>
      </c>
      <c r="E305" t="s">
        <v>73</v>
      </c>
      <c r="F305">
        <v>1200</v>
      </c>
      <c r="G305" t="s">
        <v>463</v>
      </c>
      <c r="H305" t="s">
        <v>99</v>
      </c>
      <c r="I305" t="s">
        <v>1263</v>
      </c>
      <c r="J305" t="s">
        <v>28</v>
      </c>
      <c r="K305" t="s">
        <v>48</v>
      </c>
      <c r="L305">
        <v>5</v>
      </c>
      <c r="M305">
        <v>262.68</v>
      </c>
      <c r="N305" t="s">
        <v>463</v>
      </c>
      <c r="P305" t="s">
        <v>40</v>
      </c>
      <c r="Q305">
        <v>4.3043478260869561</v>
      </c>
      <c r="R305">
        <v>2.304347826086957</v>
      </c>
      <c r="S305">
        <v>2</v>
      </c>
      <c r="T305">
        <v>5</v>
      </c>
    </row>
    <row r="306" spans="1:20" x14ac:dyDescent="0.3">
      <c r="A306" t="s">
        <v>1264</v>
      </c>
      <c r="B306" t="s">
        <v>1265</v>
      </c>
      <c r="C306" t="s">
        <v>67</v>
      </c>
      <c r="D306" t="s">
        <v>43</v>
      </c>
      <c r="E306" t="s">
        <v>44</v>
      </c>
      <c r="F306">
        <v>1200</v>
      </c>
      <c r="G306" t="s">
        <v>1266</v>
      </c>
      <c r="H306" t="s">
        <v>38</v>
      </c>
      <c r="I306" t="s">
        <v>1267</v>
      </c>
      <c r="J306" t="s">
        <v>70</v>
      </c>
      <c r="K306" t="s">
        <v>29</v>
      </c>
      <c r="L306">
        <v>10</v>
      </c>
      <c r="M306">
        <v>2578.2800000000002</v>
      </c>
      <c r="N306" t="s">
        <v>1266</v>
      </c>
      <c r="P306" t="s">
        <v>495</v>
      </c>
      <c r="Q306">
        <v>21.45</v>
      </c>
      <c r="R306">
        <v>13.15</v>
      </c>
      <c r="S306">
        <v>4</v>
      </c>
      <c r="T306">
        <v>7.25</v>
      </c>
    </row>
    <row r="307" spans="1:20" x14ac:dyDescent="0.3">
      <c r="A307" t="s">
        <v>1268</v>
      </c>
      <c r="B307" t="s">
        <v>1269</v>
      </c>
      <c r="C307" t="s">
        <v>51</v>
      </c>
      <c r="D307" t="s">
        <v>127</v>
      </c>
      <c r="E307" t="s">
        <v>128</v>
      </c>
      <c r="F307">
        <v>80</v>
      </c>
      <c r="G307" t="s">
        <v>1270</v>
      </c>
      <c r="H307" t="s">
        <v>61</v>
      </c>
      <c r="I307" t="s">
        <v>1271</v>
      </c>
      <c r="J307" t="s">
        <v>56</v>
      </c>
      <c r="K307" t="s">
        <v>29</v>
      </c>
      <c r="L307">
        <v>4</v>
      </c>
      <c r="M307">
        <v>60.76</v>
      </c>
      <c r="N307" t="s">
        <v>1270</v>
      </c>
      <c r="P307" t="s">
        <v>40</v>
      </c>
      <c r="Q307">
        <v>19</v>
      </c>
      <c r="R307">
        <v>16</v>
      </c>
      <c r="S307">
        <v>4</v>
      </c>
      <c r="T307">
        <v>7.75</v>
      </c>
    </row>
    <row r="308" spans="1:20" x14ac:dyDescent="0.3">
      <c r="A308" t="s">
        <v>1272</v>
      </c>
      <c r="B308" t="s">
        <v>1273</v>
      </c>
      <c r="C308" t="s">
        <v>97</v>
      </c>
      <c r="D308" t="s">
        <v>43</v>
      </c>
      <c r="E308" t="s">
        <v>44</v>
      </c>
      <c r="F308">
        <v>3000</v>
      </c>
      <c r="G308" t="s">
        <v>1156</v>
      </c>
      <c r="H308" t="s">
        <v>26</v>
      </c>
      <c r="I308" t="s">
        <v>1274</v>
      </c>
      <c r="J308" t="s">
        <v>28</v>
      </c>
      <c r="K308" t="s">
        <v>48</v>
      </c>
      <c r="L308">
        <v>5</v>
      </c>
      <c r="M308">
        <v>262.68</v>
      </c>
      <c r="N308" t="s">
        <v>1156</v>
      </c>
      <c r="P308" t="s">
        <v>40</v>
      </c>
      <c r="Q308">
        <v>21.142857142857139</v>
      </c>
      <c r="R308">
        <v>13.428571428571431</v>
      </c>
      <c r="S308">
        <v>4</v>
      </c>
      <c r="T308">
        <v>5.25</v>
      </c>
    </row>
    <row r="309" spans="1:20" x14ac:dyDescent="0.3">
      <c r="A309" t="s">
        <v>1275</v>
      </c>
      <c r="B309" t="s">
        <v>58</v>
      </c>
      <c r="C309" t="s">
        <v>82</v>
      </c>
      <c r="D309" t="s">
        <v>127</v>
      </c>
      <c r="E309" t="s">
        <v>133</v>
      </c>
      <c r="F309">
        <v>80</v>
      </c>
      <c r="G309" t="s">
        <v>260</v>
      </c>
      <c r="H309" t="s">
        <v>26</v>
      </c>
      <c r="I309" t="s">
        <v>1276</v>
      </c>
      <c r="J309" t="s">
        <v>28</v>
      </c>
      <c r="K309" t="s">
        <v>48</v>
      </c>
      <c r="L309">
        <v>6</v>
      </c>
      <c r="M309">
        <v>278.60000000000002</v>
      </c>
      <c r="N309" t="s">
        <v>260</v>
      </c>
      <c r="P309" t="s">
        <v>40</v>
      </c>
      <c r="Q309">
        <v>3.714285714285714</v>
      </c>
      <c r="R309">
        <v>1.714285714285714</v>
      </c>
      <c r="S309">
        <v>6</v>
      </c>
      <c r="T309">
        <v>6</v>
      </c>
    </row>
    <row r="310" spans="1:20" x14ac:dyDescent="0.3">
      <c r="A310" t="s">
        <v>1277</v>
      </c>
      <c r="B310" t="s">
        <v>1278</v>
      </c>
      <c r="C310" t="s">
        <v>82</v>
      </c>
      <c r="D310" t="s">
        <v>23</v>
      </c>
      <c r="E310" t="s">
        <v>112</v>
      </c>
      <c r="F310">
        <v>12</v>
      </c>
      <c r="G310" t="s">
        <v>1026</v>
      </c>
      <c r="H310" t="s">
        <v>46</v>
      </c>
      <c r="I310" t="s">
        <v>1279</v>
      </c>
      <c r="J310" t="s">
        <v>28</v>
      </c>
      <c r="K310" t="s">
        <v>48</v>
      </c>
      <c r="L310">
        <v>11</v>
      </c>
      <c r="M310">
        <v>358.2</v>
      </c>
      <c r="N310" t="s">
        <v>1026</v>
      </c>
      <c r="O310" t="s">
        <v>1280</v>
      </c>
      <c r="P310" t="s">
        <v>31</v>
      </c>
      <c r="Q310">
        <v>6.75</v>
      </c>
      <c r="R310">
        <v>4</v>
      </c>
      <c r="S310">
        <v>4</v>
      </c>
      <c r="T310">
        <v>6</v>
      </c>
    </row>
    <row r="311" spans="1:20" x14ac:dyDescent="0.3">
      <c r="A311" t="s">
        <v>1281</v>
      </c>
      <c r="B311" t="s">
        <v>1282</v>
      </c>
      <c r="C311" t="s">
        <v>59</v>
      </c>
      <c r="D311" t="s">
        <v>23</v>
      </c>
      <c r="E311" t="s">
        <v>160</v>
      </c>
      <c r="F311">
        <v>80</v>
      </c>
      <c r="G311" t="s">
        <v>402</v>
      </c>
      <c r="H311" t="s">
        <v>61</v>
      </c>
      <c r="I311" t="s">
        <v>1283</v>
      </c>
      <c r="J311" t="s">
        <v>28</v>
      </c>
      <c r="K311" t="s">
        <v>48</v>
      </c>
      <c r="L311">
        <v>6</v>
      </c>
      <c r="M311">
        <v>278.60000000000002</v>
      </c>
      <c r="N311" t="s">
        <v>402</v>
      </c>
      <c r="P311" t="s">
        <v>40</v>
      </c>
      <c r="Q311">
        <v>4.25</v>
      </c>
      <c r="R311">
        <v>2.375</v>
      </c>
    </row>
    <row r="312" spans="1:20" x14ac:dyDescent="0.3">
      <c r="A312" t="s">
        <v>1284</v>
      </c>
      <c r="B312" t="s">
        <v>1285</v>
      </c>
      <c r="C312" t="s">
        <v>97</v>
      </c>
      <c r="D312" t="s">
        <v>23</v>
      </c>
      <c r="E312" t="s">
        <v>24</v>
      </c>
      <c r="F312">
        <v>12</v>
      </c>
      <c r="G312" t="s">
        <v>1286</v>
      </c>
      <c r="H312" t="s">
        <v>54</v>
      </c>
      <c r="I312" t="s">
        <v>1287</v>
      </c>
      <c r="J312" t="s">
        <v>63</v>
      </c>
      <c r="K312" t="s">
        <v>48</v>
      </c>
      <c r="L312">
        <v>5</v>
      </c>
      <c r="M312">
        <v>658.68</v>
      </c>
      <c r="N312" t="s">
        <v>1286</v>
      </c>
      <c r="P312" t="s">
        <v>40</v>
      </c>
      <c r="Q312">
        <v>11.739130434782609</v>
      </c>
      <c r="R312">
        <v>7.2608695652173916</v>
      </c>
      <c r="S312">
        <v>4</v>
      </c>
      <c r="T312">
        <v>7.25</v>
      </c>
    </row>
    <row r="313" spans="1:20" x14ac:dyDescent="0.3">
      <c r="A313" t="s">
        <v>1288</v>
      </c>
      <c r="B313" t="s">
        <v>1289</v>
      </c>
      <c r="C313" t="s">
        <v>67</v>
      </c>
      <c r="D313" t="s">
        <v>23</v>
      </c>
      <c r="E313" t="s">
        <v>160</v>
      </c>
      <c r="F313">
        <v>1200</v>
      </c>
      <c r="G313" t="s">
        <v>1290</v>
      </c>
      <c r="H313" t="s">
        <v>54</v>
      </c>
      <c r="I313" t="s">
        <v>1291</v>
      </c>
      <c r="J313" t="s">
        <v>63</v>
      </c>
      <c r="K313" t="s">
        <v>29</v>
      </c>
      <c r="L313">
        <v>6</v>
      </c>
      <c r="M313">
        <v>698.6</v>
      </c>
      <c r="N313" t="s">
        <v>1290</v>
      </c>
      <c r="P313" t="s">
        <v>40</v>
      </c>
      <c r="Q313">
        <v>15.5625</v>
      </c>
      <c r="R313">
        <v>8.0625</v>
      </c>
      <c r="S313">
        <v>5</v>
      </c>
      <c r="T313">
        <v>5.6</v>
      </c>
    </row>
    <row r="314" spans="1:20" x14ac:dyDescent="0.3">
      <c r="A314" t="s">
        <v>1292</v>
      </c>
      <c r="B314" t="s">
        <v>1293</v>
      </c>
      <c r="C314" t="s">
        <v>111</v>
      </c>
      <c r="D314" t="s">
        <v>138</v>
      </c>
      <c r="E314" t="s">
        <v>138</v>
      </c>
      <c r="F314">
        <v>35</v>
      </c>
      <c r="G314" t="s">
        <v>1294</v>
      </c>
      <c r="H314" t="s">
        <v>26</v>
      </c>
      <c r="I314" t="s">
        <v>1295</v>
      </c>
      <c r="J314" t="s">
        <v>56</v>
      </c>
      <c r="K314" t="s">
        <v>29</v>
      </c>
      <c r="L314">
        <v>3</v>
      </c>
      <c r="M314">
        <v>56.84</v>
      </c>
      <c r="N314" t="s">
        <v>1294</v>
      </c>
      <c r="P314" t="s">
        <v>40</v>
      </c>
      <c r="Q314">
        <v>4.0952380952380949</v>
      </c>
      <c r="R314">
        <v>2.4761904761904758</v>
      </c>
      <c r="S314">
        <v>4</v>
      </c>
      <c r="T314">
        <v>6.5</v>
      </c>
    </row>
    <row r="315" spans="1:20" x14ac:dyDescent="0.3">
      <c r="A315" t="s">
        <v>1296</v>
      </c>
      <c r="B315" t="s">
        <v>1297</v>
      </c>
      <c r="C315" t="s">
        <v>97</v>
      </c>
      <c r="D315" t="s">
        <v>35</v>
      </c>
      <c r="E315" t="s">
        <v>36</v>
      </c>
      <c r="F315">
        <v>12</v>
      </c>
      <c r="G315" t="s">
        <v>1298</v>
      </c>
      <c r="H315" t="s">
        <v>26</v>
      </c>
      <c r="I315" t="s">
        <v>1299</v>
      </c>
      <c r="J315" t="s">
        <v>28</v>
      </c>
      <c r="K315" t="s">
        <v>29</v>
      </c>
      <c r="L315">
        <v>12</v>
      </c>
      <c r="M315">
        <v>374.12</v>
      </c>
      <c r="N315" t="s">
        <v>1298</v>
      </c>
      <c r="P315" t="s">
        <v>40</v>
      </c>
      <c r="Q315">
        <v>5.2941176470588234</v>
      </c>
      <c r="R315">
        <v>2.2941176470588229</v>
      </c>
      <c r="S315">
        <v>2</v>
      </c>
      <c r="T315">
        <v>6</v>
      </c>
    </row>
    <row r="316" spans="1:20" x14ac:dyDescent="0.3">
      <c r="A316" t="s">
        <v>1300</v>
      </c>
      <c r="B316" t="s">
        <v>210</v>
      </c>
      <c r="C316" t="s">
        <v>51</v>
      </c>
      <c r="D316" t="s">
        <v>23</v>
      </c>
      <c r="E316" t="s">
        <v>24</v>
      </c>
      <c r="F316">
        <v>150</v>
      </c>
      <c r="G316" t="s">
        <v>1301</v>
      </c>
      <c r="H316" t="s">
        <v>26</v>
      </c>
      <c r="I316" t="s">
        <v>1302</v>
      </c>
      <c r="J316" t="s">
        <v>28</v>
      </c>
      <c r="K316" t="s">
        <v>29</v>
      </c>
      <c r="L316">
        <v>6</v>
      </c>
      <c r="M316">
        <v>278.60000000000002</v>
      </c>
      <c r="N316" t="s">
        <v>1301</v>
      </c>
      <c r="P316" t="s">
        <v>40</v>
      </c>
      <c r="Q316">
        <v>20</v>
      </c>
      <c r="R316">
        <v>12.05263157894737</v>
      </c>
      <c r="S316">
        <v>3</v>
      </c>
      <c r="T316">
        <v>6.666666666666667</v>
      </c>
    </row>
    <row r="317" spans="1:20" x14ac:dyDescent="0.3">
      <c r="A317" t="s">
        <v>1303</v>
      </c>
      <c r="B317" t="s">
        <v>1304</v>
      </c>
      <c r="C317" t="s">
        <v>59</v>
      </c>
      <c r="D317" t="s">
        <v>35</v>
      </c>
      <c r="E317" t="s">
        <v>36</v>
      </c>
      <c r="F317">
        <v>80</v>
      </c>
      <c r="G317" t="s">
        <v>1305</v>
      </c>
      <c r="H317" t="s">
        <v>46</v>
      </c>
      <c r="I317" t="s">
        <v>1306</v>
      </c>
      <c r="J317" t="s">
        <v>28</v>
      </c>
      <c r="K317" t="s">
        <v>29</v>
      </c>
      <c r="L317">
        <v>3</v>
      </c>
      <c r="M317">
        <v>230.84</v>
      </c>
      <c r="N317" t="s">
        <v>1305</v>
      </c>
      <c r="O317" t="s">
        <v>952</v>
      </c>
      <c r="P317" t="s">
        <v>31</v>
      </c>
      <c r="Q317">
        <v>2.2000000000000002</v>
      </c>
      <c r="R317">
        <v>0.4</v>
      </c>
      <c r="S317">
        <v>2</v>
      </c>
      <c r="T317">
        <v>7.5</v>
      </c>
    </row>
    <row r="318" spans="1:20" x14ac:dyDescent="0.3">
      <c r="A318" t="s">
        <v>1307</v>
      </c>
      <c r="B318" t="s">
        <v>1308</v>
      </c>
      <c r="C318" t="s">
        <v>59</v>
      </c>
      <c r="D318" t="s">
        <v>138</v>
      </c>
      <c r="E318" t="s">
        <v>138</v>
      </c>
      <c r="F318">
        <v>150</v>
      </c>
      <c r="G318" t="s">
        <v>1309</v>
      </c>
      <c r="H318" t="s">
        <v>46</v>
      </c>
      <c r="I318" t="s">
        <v>1310</v>
      </c>
      <c r="J318" t="s">
        <v>63</v>
      </c>
      <c r="K318" t="s">
        <v>48</v>
      </c>
      <c r="L318">
        <v>8</v>
      </c>
      <c r="M318">
        <v>778.44</v>
      </c>
      <c r="N318" t="s">
        <v>1309</v>
      </c>
      <c r="O318" t="s">
        <v>1311</v>
      </c>
      <c r="P318" t="s">
        <v>31</v>
      </c>
      <c r="Q318">
        <v>9.625</v>
      </c>
      <c r="R318">
        <v>6.25</v>
      </c>
      <c r="S318">
        <v>3</v>
      </c>
      <c r="T318">
        <v>4.333333333333333</v>
      </c>
    </row>
    <row r="319" spans="1:20" x14ac:dyDescent="0.3">
      <c r="A319" t="s">
        <v>1312</v>
      </c>
      <c r="B319" t="s">
        <v>1313</v>
      </c>
      <c r="C319" t="s">
        <v>97</v>
      </c>
      <c r="D319" t="s">
        <v>23</v>
      </c>
      <c r="E319" t="s">
        <v>73</v>
      </c>
      <c r="F319">
        <v>80</v>
      </c>
      <c r="G319" t="s">
        <v>357</v>
      </c>
      <c r="H319" t="s">
        <v>38</v>
      </c>
      <c r="I319" t="s">
        <v>1314</v>
      </c>
      <c r="J319" t="s">
        <v>56</v>
      </c>
      <c r="K319" t="s">
        <v>29</v>
      </c>
      <c r="L319">
        <v>7</v>
      </c>
      <c r="M319">
        <v>72.52</v>
      </c>
      <c r="N319" t="s">
        <v>357</v>
      </c>
      <c r="P319" t="s">
        <v>40</v>
      </c>
      <c r="Q319">
        <v>6.7058823529411766</v>
      </c>
      <c r="R319">
        <v>3.2941176470588229</v>
      </c>
      <c r="S319">
        <v>7</v>
      </c>
      <c r="T319">
        <v>4.8571428571428568</v>
      </c>
    </row>
    <row r="320" spans="1:20" x14ac:dyDescent="0.3">
      <c r="A320" t="s">
        <v>1315</v>
      </c>
      <c r="B320" t="s">
        <v>1316</v>
      </c>
      <c r="C320" t="s">
        <v>34</v>
      </c>
      <c r="D320" t="s">
        <v>35</v>
      </c>
      <c r="E320" t="s">
        <v>36</v>
      </c>
      <c r="F320">
        <v>400</v>
      </c>
      <c r="G320" t="s">
        <v>1317</v>
      </c>
      <c r="H320" t="s">
        <v>26</v>
      </c>
      <c r="I320" t="s">
        <v>1318</v>
      </c>
      <c r="J320" t="s">
        <v>56</v>
      </c>
      <c r="K320" t="s">
        <v>29</v>
      </c>
      <c r="L320">
        <v>5</v>
      </c>
      <c r="M320">
        <v>64.680000000000007</v>
      </c>
      <c r="N320" t="s">
        <v>1317</v>
      </c>
      <c r="P320" t="s">
        <v>40</v>
      </c>
      <c r="Q320">
        <v>4.4666666666666668</v>
      </c>
      <c r="R320">
        <v>2.666666666666667</v>
      </c>
      <c r="S320">
        <v>4</v>
      </c>
      <c r="T320">
        <v>3.5</v>
      </c>
    </row>
    <row r="321" spans="1:20" x14ac:dyDescent="0.3">
      <c r="A321" t="s">
        <v>1319</v>
      </c>
      <c r="B321" t="s">
        <v>1320</v>
      </c>
      <c r="C321" t="s">
        <v>67</v>
      </c>
      <c r="D321" t="s">
        <v>35</v>
      </c>
      <c r="E321" t="s">
        <v>52</v>
      </c>
      <c r="F321">
        <v>400</v>
      </c>
      <c r="G321" t="s">
        <v>1321</v>
      </c>
      <c r="H321" t="s">
        <v>46</v>
      </c>
      <c r="I321" t="s">
        <v>1322</v>
      </c>
      <c r="J321" t="s">
        <v>28</v>
      </c>
      <c r="K321" t="s">
        <v>48</v>
      </c>
      <c r="L321">
        <v>7</v>
      </c>
      <c r="M321">
        <v>262.68</v>
      </c>
      <c r="N321" t="s">
        <v>1321</v>
      </c>
      <c r="O321" t="s">
        <v>831</v>
      </c>
      <c r="P321" t="s">
        <v>31</v>
      </c>
      <c r="Q321">
        <v>1.5</v>
      </c>
      <c r="R321">
        <v>0.5</v>
      </c>
      <c r="S321">
        <v>5</v>
      </c>
      <c r="T321">
        <v>4.4000000000000004</v>
      </c>
    </row>
    <row r="322" spans="1:20" x14ac:dyDescent="0.3">
      <c r="A322" t="s">
        <v>1323</v>
      </c>
      <c r="B322" t="s">
        <v>1324</v>
      </c>
      <c r="C322" t="s">
        <v>111</v>
      </c>
      <c r="D322" t="s">
        <v>23</v>
      </c>
      <c r="E322" t="s">
        <v>87</v>
      </c>
      <c r="F322">
        <v>80</v>
      </c>
      <c r="G322" t="s">
        <v>1325</v>
      </c>
      <c r="H322" t="s">
        <v>54</v>
      </c>
      <c r="I322" t="s">
        <v>1326</v>
      </c>
      <c r="J322" t="s">
        <v>56</v>
      </c>
      <c r="K322" t="s">
        <v>48</v>
      </c>
      <c r="L322">
        <v>7</v>
      </c>
      <c r="M322">
        <v>72.52</v>
      </c>
      <c r="N322" t="s">
        <v>1325</v>
      </c>
      <c r="P322" t="s">
        <v>40</v>
      </c>
      <c r="Q322">
        <v>8.2857142857142865</v>
      </c>
      <c r="R322">
        <v>3.5714285714285721</v>
      </c>
      <c r="S322">
        <v>3</v>
      </c>
      <c r="T322">
        <v>7</v>
      </c>
    </row>
    <row r="323" spans="1:20" x14ac:dyDescent="0.3">
      <c r="A323" t="s">
        <v>1327</v>
      </c>
      <c r="B323" t="s">
        <v>1328</v>
      </c>
      <c r="C323" t="s">
        <v>111</v>
      </c>
      <c r="D323" t="s">
        <v>23</v>
      </c>
      <c r="E323" t="s">
        <v>73</v>
      </c>
      <c r="F323">
        <v>35</v>
      </c>
      <c r="G323" t="s">
        <v>744</v>
      </c>
      <c r="H323" t="s">
        <v>54</v>
      </c>
      <c r="I323" t="s">
        <v>1329</v>
      </c>
      <c r="J323" t="s">
        <v>28</v>
      </c>
      <c r="K323" t="s">
        <v>29</v>
      </c>
      <c r="L323">
        <v>6</v>
      </c>
      <c r="M323">
        <v>278.60000000000002</v>
      </c>
      <c r="N323" t="s">
        <v>744</v>
      </c>
      <c r="P323" t="s">
        <v>40</v>
      </c>
      <c r="Q323">
        <v>19.875</v>
      </c>
      <c r="R323">
        <v>12.9375</v>
      </c>
      <c r="S323">
        <v>4</v>
      </c>
      <c r="T323">
        <v>6.5</v>
      </c>
    </row>
    <row r="324" spans="1:20" x14ac:dyDescent="0.3">
      <c r="A324" t="s">
        <v>1330</v>
      </c>
      <c r="B324" t="s">
        <v>1331</v>
      </c>
      <c r="C324" t="s">
        <v>22</v>
      </c>
      <c r="D324" t="s">
        <v>35</v>
      </c>
      <c r="E324" t="s">
        <v>52</v>
      </c>
      <c r="F324">
        <v>35</v>
      </c>
      <c r="G324" t="s">
        <v>1332</v>
      </c>
      <c r="H324" t="s">
        <v>26</v>
      </c>
      <c r="I324" t="s">
        <v>1333</v>
      </c>
      <c r="J324" t="s">
        <v>70</v>
      </c>
      <c r="K324" t="s">
        <v>48</v>
      </c>
      <c r="L324">
        <v>9</v>
      </c>
      <c r="M324">
        <v>2458.36</v>
      </c>
      <c r="N324" t="s">
        <v>1332</v>
      </c>
      <c r="P324" t="s">
        <v>40</v>
      </c>
      <c r="Q324">
        <v>3.333333333333333</v>
      </c>
      <c r="R324">
        <v>1.5</v>
      </c>
      <c r="S324">
        <v>1</v>
      </c>
      <c r="T324">
        <v>6</v>
      </c>
    </row>
    <row r="325" spans="1:20" x14ac:dyDescent="0.3">
      <c r="A325" t="s">
        <v>1334</v>
      </c>
      <c r="B325" t="s">
        <v>1335</v>
      </c>
      <c r="C325" t="s">
        <v>82</v>
      </c>
      <c r="D325" t="s">
        <v>138</v>
      </c>
      <c r="E325" t="s">
        <v>138</v>
      </c>
      <c r="F325">
        <v>35</v>
      </c>
      <c r="G325" t="s">
        <v>1336</v>
      </c>
      <c r="H325" t="s">
        <v>54</v>
      </c>
      <c r="I325" t="s">
        <v>1337</v>
      </c>
      <c r="J325" t="s">
        <v>56</v>
      </c>
      <c r="K325" t="s">
        <v>29</v>
      </c>
      <c r="L325">
        <v>9</v>
      </c>
      <c r="M325">
        <v>80.36</v>
      </c>
      <c r="N325" t="s">
        <v>1336</v>
      </c>
      <c r="P325" t="s">
        <v>40</v>
      </c>
      <c r="Q325">
        <v>7.9565217391304346</v>
      </c>
      <c r="R325">
        <v>4.6521739130434776</v>
      </c>
      <c r="S325">
        <v>3</v>
      </c>
      <c r="T325">
        <v>7.333333333333333</v>
      </c>
    </row>
    <row r="326" spans="1:20" x14ac:dyDescent="0.3">
      <c r="A326" t="s">
        <v>1338</v>
      </c>
      <c r="B326" t="s">
        <v>1339</v>
      </c>
      <c r="C326" t="s">
        <v>59</v>
      </c>
      <c r="D326" t="s">
        <v>35</v>
      </c>
      <c r="E326" t="s">
        <v>52</v>
      </c>
      <c r="F326">
        <v>3000</v>
      </c>
      <c r="G326" t="s">
        <v>1340</v>
      </c>
      <c r="H326" t="s">
        <v>54</v>
      </c>
      <c r="I326" t="s">
        <v>1341</v>
      </c>
      <c r="J326" t="s">
        <v>63</v>
      </c>
      <c r="K326" t="s">
        <v>29</v>
      </c>
      <c r="L326">
        <v>8</v>
      </c>
      <c r="M326">
        <v>778.44</v>
      </c>
      <c r="N326" t="s">
        <v>1340</v>
      </c>
      <c r="P326" t="s">
        <v>40</v>
      </c>
      <c r="Q326">
        <v>9</v>
      </c>
      <c r="R326">
        <v>4</v>
      </c>
      <c r="S326">
        <v>3</v>
      </c>
      <c r="T326">
        <v>4.666666666666667</v>
      </c>
    </row>
    <row r="327" spans="1:20" x14ac:dyDescent="0.3">
      <c r="A327" t="s">
        <v>1342</v>
      </c>
      <c r="B327" t="s">
        <v>1343</v>
      </c>
      <c r="C327" t="s">
        <v>82</v>
      </c>
      <c r="D327" t="s">
        <v>23</v>
      </c>
      <c r="E327" t="s">
        <v>112</v>
      </c>
      <c r="F327">
        <v>80</v>
      </c>
      <c r="G327" t="s">
        <v>1344</v>
      </c>
      <c r="H327" t="s">
        <v>54</v>
      </c>
      <c r="I327" t="s">
        <v>1345</v>
      </c>
      <c r="J327" t="s">
        <v>56</v>
      </c>
      <c r="K327" t="s">
        <v>29</v>
      </c>
      <c r="L327">
        <v>5</v>
      </c>
      <c r="M327">
        <v>64.680000000000007</v>
      </c>
      <c r="N327" t="s">
        <v>1344</v>
      </c>
      <c r="O327" t="s">
        <v>1346</v>
      </c>
      <c r="P327" t="s">
        <v>31</v>
      </c>
      <c r="Q327">
        <v>2.25</v>
      </c>
      <c r="R327">
        <v>0.75</v>
      </c>
      <c r="S327">
        <v>1</v>
      </c>
      <c r="T327">
        <v>6</v>
      </c>
    </row>
    <row r="328" spans="1:20" x14ac:dyDescent="0.3">
      <c r="A328" t="s">
        <v>1347</v>
      </c>
      <c r="B328" t="s">
        <v>1348</v>
      </c>
      <c r="C328" t="s">
        <v>59</v>
      </c>
      <c r="D328" t="s">
        <v>138</v>
      </c>
      <c r="E328" t="s">
        <v>138</v>
      </c>
      <c r="F328">
        <v>150</v>
      </c>
      <c r="G328" t="s">
        <v>1349</v>
      </c>
      <c r="H328" t="s">
        <v>61</v>
      </c>
      <c r="I328" t="s">
        <v>1350</v>
      </c>
      <c r="J328" t="s">
        <v>28</v>
      </c>
      <c r="K328" t="s">
        <v>48</v>
      </c>
      <c r="L328">
        <v>9</v>
      </c>
      <c r="M328">
        <v>326.36</v>
      </c>
      <c r="N328" t="s">
        <v>1349</v>
      </c>
      <c r="P328" t="s">
        <v>40</v>
      </c>
      <c r="Q328">
        <v>4.6923076923076934</v>
      </c>
      <c r="R328">
        <v>2.0769230769230771</v>
      </c>
      <c r="S328">
        <v>5</v>
      </c>
      <c r="T328">
        <v>5.2</v>
      </c>
    </row>
    <row r="329" spans="1:20" x14ac:dyDescent="0.3">
      <c r="A329" t="s">
        <v>1351</v>
      </c>
      <c r="B329" t="s">
        <v>1352</v>
      </c>
      <c r="C329" t="s">
        <v>67</v>
      </c>
      <c r="D329" t="s">
        <v>35</v>
      </c>
      <c r="E329" t="s">
        <v>52</v>
      </c>
      <c r="F329">
        <v>80</v>
      </c>
      <c r="G329" t="s">
        <v>434</v>
      </c>
      <c r="H329" t="s">
        <v>54</v>
      </c>
      <c r="I329" t="s">
        <v>1353</v>
      </c>
      <c r="J329" t="s">
        <v>70</v>
      </c>
      <c r="K329" t="s">
        <v>29</v>
      </c>
      <c r="L329">
        <v>5</v>
      </c>
      <c r="M329">
        <v>1978.68</v>
      </c>
      <c r="N329" t="s">
        <v>434</v>
      </c>
      <c r="P329" t="s">
        <v>40</v>
      </c>
      <c r="Q329">
        <v>16.578947368421051</v>
      </c>
      <c r="R329">
        <v>9.2631578947368425</v>
      </c>
      <c r="S329">
        <v>9</v>
      </c>
      <c r="T329">
        <v>6</v>
      </c>
    </row>
    <row r="330" spans="1:20" x14ac:dyDescent="0.3">
      <c r="A330" t="s">
        <v>1354</v>
      </c>
      <c r="B330" t="s">
        <v>1355</v>
      </c>
      <c r="C330" t="s">
        <v>97</v>
      </c>
      <c r="D330" t="s">
        <v>35</v>
      </c>
      <c r="E330" t="s">
        <v>36</v>
      </c>
      <c r="F330">
        <v>150</v>
      </c>
      <c r="G330" t="s">
        <v>1356</v>
      </c>
      <c r="H330" t="s">
        <v>26</v>
      </c>
      <c r="I330" t="s">
        <v>1357</v>
      </c>
      <c r="J330" t="s">
        <v>28</v>
      </c>
      <c r="K330" t="s">
        <v>29</v>
      </c>
      <c r="L330">
        <v>8</v>
      </c>
      <c r="M330">
        <v>310.44</v>
      </c>
      <c r="N330" t="s">
        <v>1356</v>
      </c>
      <c r="P330" t="s">
        <v>40</v>
      </c>
      <c r="Q330">
        <v>13.66666666666667</v>
      </c>
      <c r="R330">
        <v>7.541666666666667</v>
      </c>
      <c r="S330">
        <v>2</v>
      </c>
      <c r="T330">
        <v>6</v>
      </c>
    </row>
    <row r="331" spans="1:20" x14ac:dyDescent="0.3">
      <c r="A331" t="s">
        <v>1358</v>
      </c>
      <c r="B331" t="s">
        <v>751</v>
      </c>
      <c r="C331" t="s">
        <v>67</v>
      </c>
      <c r="D331" t="s">
        <v>23</v>
      </c>
      <c r="E331" t="s">
        <v>87</v>
      </c>
      <c r="F331">
        <v>35</v>
      </c>
      <c r="G331" t="s">
        <v>1359</v>
      </c>
      <c r="H331" t="s">
        <v>46</v>
      </c>
      <c r="I331" t="s">
        <v>1360</v>
      </c>
      <c r="J331" t="s">
        <v>56</v>
      </c>
      <c r="K331" t="s">
        <v>29</v>
      </c>
      <c r="L331">
        <v>2</v>
      </c>
      <c r="M331">
        <v>52.92</v>
      </c>
      <c r="N331" t="s">
        <v>1359</v>
      </c>
      <c r="P331" t="s">
        <v>495</v>
      </c>
      <c r="Q331">
        <v>15.33333333333333</v>
      </c>
      <c r="R331">
        <v>9</v>
      </c>
      <c r="S331">
        <v>1</v>
      </c>
      <c r="T331">
        <v>6</v>
      </c>
    </row>
    <row r="332" spans="1:20" x14ac:dyDescent="0.3">
      <c r="A332" t="s">
        <v>1361</v>
      </c>
      <c r="B332" t="s">
        <v>1362</v>
      </c>
      <c r="C332" t="s">
        <v>82</v>
      </c>
      <c r="D332" t="s">
        <v>23</v>
      </c>
      <c r="E332" t="s">
        <v>87</v>
      </c>
      <c r="F332">
        <v>80</v>
      </c>
      <c r="G332" t="s">
        <v>939</v>
      </c>
      <c r="H332" t="s">
        <v>99</v>
      </c>
      <c r="I332" t="s">
        <v>1363</v>
      </c>
      <c r="J332" t="s">
        <v>28</v>
      </c>
      <c r="K332" t="s">
        <v>48</v>
      </c>
      <c r="L332">
        <v>10</v>
      </c>
      <c r="M332">
        <v>342.28</v>
      </c>
      <c r="N332" t="s">
        <v>939</v>
      </c>
      <c r="P332" t="s">
        <v>40</v>
      </c>
      <c r="Q332">
        <v>3.2941176470588229</v>
      </c>
      <c r="R332">
        <v>1.411764705882353</v>
      </c>
      <c r="S332">
        <v>2</v>
      </c>
      <c r="T332">
        <v>4.5</v>
      </c>
    </row>
    <row r="333" spans="1:20" x14ac:dyDescent="0.3">
      <c r="A333" t="s">
        <v>1364</v>
      </c>
      <c r="B333" t="s">
        <v>1365</v>
      </c>
      <c r="C333" t="s">
        <v>51</v>
      </c>
      <c r="D333" t="s">
        <v>23</v>
      </c>
      <c r="E333" t="s">
        <v>117</v>
      </c>
      <c r="F333">
        <v>80</v>
      </c>
      <c r="G333" t="s">
        <v>1039</v>
      </c>
      <c r="H333" t="s">
        <v>61</v>
      </c>
      <c r="I333" t="s">
        <v>1366</v>
      </c>
      <c r="J333" t="s">
        <v>28</v>
      </c>
      <c r="K333" t="s">
        <v>29</v>
      </c>
      <c r="L333">
        <v>9</v>
      </c>
      <c r="M333">
        <v>326.36</v>
      </c>
      <c r="N333" t="s">
        <v>1039</v>
      </c>
      <c r="P333" t="s">
        <v>40</v>
      </c>
      <c r="Q333">
        <v>5.8</v>
      </c>
      <c r="R333">
        <v>3</v>
      </c>
      <c r="S333">
        <v>4</v>
      </c>
      <c r="T333">
        <v>4.75</v>
      </c>
    </row>
    <row r="334" spans="1:20" x14ac:dyDescent="0.3">
      <c r="A334" t="s">
        <v>1367</v>
      </c>
      <c r="B334" t="s">
        <v>1368</v>
      </c>
      <c r="C334" t="s">
        <v>111</v>
      </c>
      <c r="D334" t="s">
        <v>23</v>
      </c>
      <c r="E334" t="s">
        <v>117</v>
      </c>
      <c r="F334">
        <v>35</v>
      </c>
      <c r="G334" t="s">
        <v>1369</v>
      </c>
      <c r="H334" t="s">
        <v>26</v>
      </c>
      <c r="I334" t="s">
        <v>1370</v>
      </c>
      <c r="J334" t="s">
        <v>56</v>
      </c>
      <c r="K334" t="s">
        <v>48</v>
      </c>
      <c r="L334">
        <v>5</v>
      </c>
      <c r="M334">
        <v>64.680000000000007</v>
      </c>
      <c r="N334" t="s">
        <v>1369</v>
      </c>
      <c r="P334" t="s">
        <v>40</v>
      </c>
      <c r="Q334">
        <v>8.125</v>
      </c>
      <c r="R334">
        <v>4.375</v>
      </c>
      <c r="S334">
        <v>2</v>
      </c>
      <c r="T334">
        <v>6</v>
      </c>
    </row>
    <row r="335" spans="1:20" x14ac:dyDescent="0.3">
      <c r="A335" t="s">
        <v>1371</v>
      </c>
      <c r="B335" t="s">
        <v>1372</v>
      </c>
      <c r="C335" t="s">
        <v>34</v>
      </c>
      <c r="D335" t="s">
        <v>23</v>
      </c>
      <c r="E335" t="s">
        <v>73</v>
      </c>
      <c r="F335">
        <v>35</v>
      </c>
      <c r="G335" t="s">
        <v>301</v>
      </c>
      <c r="H335" t="s">
        <v>46</v>
      </c>
      <c r="I335" t="s">
        <v>1373</v>
      </c>
      <c r="J335" t="s">
        <v>28</v>
      </c>
      <c r="K335" t="s">
        <v>48</v>
      </c>
      <c r="L335">
        <v>6</v>
      </c>
      <c r="M335">
        <v>294.52</v>
      </c>
      <c r="N335" t="s">
        <v>301</v>
      </c>
      <c r="P335" t="s">
        <v>40</v>
      </c>
      <c r="Q335">
        <v>11.8</v>
      </c>
      <c r="R335">
        <v>6.4</v>
      </c>
      <c r="S335">
        <v>4</v>
      </c>
      <c r="T335">
        <v>5.5</v>
      </c>
    </row>
    <row r="336" spans="1:20" x14ac:dyDescent="0.3">
      <c r="A336" t="s">
        <v>1374</v>
      </c>
      <c r="B336" t="s">
        <v>1375</v>
      </c>
      <c r="C336" t="s">
        <v>51</v>
      </c>
      <c r="D336" t="s">
        <v>23</v>
      </c>
      <c r="E336" t="s">
        <v>87</v>
      </c>
      <c r="F336">
        <v>1200</v>
      </c>
      <c r="G336" t="s">
        <v>1376</v>
      </c>
      <c r="H336" t="s">
        <v>26</v>
      </c>
      <c r="I336" t="s">
        <v>1377</v>
      </c>
      <c r="J336" t="s">
        <v>28</v>
      </c>
      <c r="K336" t="s">
        <v>48</v>
      </c>
      <c r="L336">
        <v>9</v>
      </c>
      <c r="M336">
        <v>326.36</v>
      </c>
      <c r="N336" t="s">
        <v>1376</v>
      </c>
      <c r="O336" t="s">
        <v>516</v>
      </c>
      <c r="P336" t="s">
        <v>31</v>
      </c>
      <c r="Q336">
        <v>13.5</v>
      </c>
      <c r="R336">
        <v>7.875</v>
      </c>
      <c r="S336">
        <v>1</v>
      </c>
      <c r="T336">
        <v>3</v>
      </c>
    </row>
    <row r="337" spans="1:20" x14ac:dyDescent="0.3">
      <c r="A337" t="s">
        <v>1378</v>
      </c>
      <c r="B337" t="s">
        <v>1379</v>
      </c>
      <c r="C337" t="s">
        <v>59</v>
      </c>
      <c r="D337" t="s">
        <v>35</v>
      </c>
      <c r="E337" t="s">
        <v>36</v>
      </c>
      <c r="F337">
        <v>1200</v>
      </c>
      <c r="G337" t="s">
        <v>697</v>
      </c>
      <c r="H337" t="s">
        <v>26</v>
      </c>
      <c r="I337" t="s">
        <v>1380</v>
      </c>
      <c r="J337" t="s">
        <v>56</v>
      </c>
      <c r="K337" t="s">
        <v>29</v>
      </c>
      <c r="L337">
        <v>6</v>
      </c>
      <c r="M337">
        <v>68.599999999999994</v>
      </c>
      <c r="N337" t="s">
        <v>697</v>
      </c>
      <c r="P337" t="s">
        <v>40</v>
      </c>
      <c r="Q337">
        <v>11.6</v>
      </c>
      <c r="R337">
        <v>6.8</v>
      </c>
      <c r="S337">
        <v>5</v>
      </c>
      <c r="T337">
        <v>4.5999999999999996</v>
      </c>
    </row>
    <row r="338" spans="1:20" x14ac:dyDescent="0.3">
      <c r="A338" t="s">
        <v>1381</v>
      </c>
      <c r="B338" t="s">
        <v>1382</v>
      </c>
      <c r="C338" t="s">
        <v>34</v>
      </c>
      <c r="D338" t="s">
        <v>23</v>
      </c>
      <c r="E338" t="s">
        <v>24</v>
      </c>
      <c r="F338">
        <v>400</v>
      </c>
      <c r="G338" t="s">
        <v>45</v>
      </c>
      <c r="H338" t="s">
        <v>99</v>
      </c>
      <c r="I338" t="s">
        <v>1383</v>
      </c>
      <c r="J338" t="s">
        <v>28</v>
      </c>
      <c r="K338" t="s">
        <v>29</v>
      </c>
      <c r="L338">
        <v>7</v>
      </c>
      <c r="M338">
        <v>294.52</v>
      </c>
      <c r="N338" t="s">
        <v>45</v>
      </c>
      <c r="P338" t="s">
        <v>40</v>
      </c>
      <c r="Q338">
        <v>11.6875</v>
      </c>
      <c r="R338">
        <v>6.4375</v>
      </c>
      <c r="S338">
        <v>5</v>
      </c>
      <c r="T338">
        <v>5.8</v>
      </c>
    </row>
    <row r="339" spans="1:20" x14ac:dyDescent="0.3">
      <c r="A339" t="s">
        <v>1384</v>
      </c>
      <c r="B339" t="s">
        <v>1385</v>
      </c>
      <c r="C339" t="s">
        <v>67</v>
      </c>
      <c r="D339" t="s">
        <v>138</v>
      </c>
      <c r="E339" t="s">
        <v>138</v>
      </c>
      <c r="F339">
        <v>12</v>
      </c>
      <c r="G339" t="s">
        <v>764</v>
      </c>
      <c r="H339" t="s">
        <v>26</v>
      </c>
      <c r="I339" t="s">
        <v>1386</v>
      </c>
      <c r="J339" t="s">
        <v>56</v>
      </c>
      <c r="K339" t="s">
        <v>48</v>
      </c>
      <c r="L339">
        <v>6</v>
      </c>
      <c r="M339">
        <v>68.599999999999994</v>
      </c>
      <c r="N339" t="s">
        <v>764</v>
      </c>
      <c r="P339" t="s">
        <v>40</v>
      </c>
      <c r="Q339">
        <v>7.9333333333333336</v>
      </c>
      <c r="R339">
        <v>4.7333333333333334</v>
      </c>
      <c r="S339">
        <v>4</v>
      </c>
      <c r="T339">
        <v>7</v>
      </c>
    </row>
    <row r="340" spans="1:20" x14ac:dyDescent="0.3">
      <c r="A340" t="s">
        <v>1387</v>
      </c>
      <c r="B340" t="s">
        <v>1388</v>
      </c>
      <c r="C340" t="s">
        <v>111</v>
      </c>
      <c r="D340" t="s">
        <v>23</v>
      </c>
      <c r="E340" t="s">
        <v>160</v>
      </c>
      <c r="F340">
        <v>400</v>
      </c>
      <c r="G340" t="s">
        <v>1389</v>
      </c>
      <c r="H340" t="s">
        <v>38</v>
      </c>
      <c r="I340" t="s">
        <v>1390</v>
      </c>
      <c r="J340" t="s">
        <v>70</v>
      </c>
      <c r="K340" t="s">
        <v>48</v>
      </c>
      <c r="L340">
        <v>9</v>
      </c>
      <c r="M340">
        <v>2458.36</v>
      </c>
      <c r="N340" t="s">
        <v>1389</v>
      </c>
      <c r="P340" t="s">
        <v>40</v>
      </c>
      <c r="Q340">
        <v>20.173913043478262</v>
      </c>
      <c r="R340">
        <v>12.21739130434783</v>
      </c>
      <c r="S340">
        <v>4</v>
      </c>
      <c r="T340">
        <v>4.75</v>
      </c>
    </row>
    <row r="341" spans="1:20" x14ac:dyDescent="0.3">
      <c r="A341" t="s">
        <v>1391</v>
      </c>
      <c r="B341" t="s">
        <v>557</v>
      </c>
      <c r="C341" t="s">
        <v>97</v>
      </c>
      <c r="D341" t="s">
        <v>35</v>
      </c>
      <c r="E341" t="s">
        <v>36</v>
      </c>
      <c r="F341">
        <v>3000</v>
      </c>
      <c r="G341" t="s">
        <v>1266</v>
      </c>
      <c r="H341" t="s">
        <v>26</v>
      </c>
      <c r="I341" t="s">
        <v>1392</v>
      </c>
      <c r="J341" t="s">
        <v>70</v>
      </c>
      <c r="K341" t="s">
        <v>48</v>
      </c>
      <c r="L341">
        <v>8</v>
      </c>
      <c r="M341">
        <v>2338.44</v>
      </c>
      <c r="N341" t="s">
        <v>1266</v>
      </c>
      <c r="P341" t="s">
        <v>40</v>
      </c>
      <c r="Q341">
        <v>4.55</v>
      </c>
      <c r="R341">
        <v>2.4</v>
      </c>
      <c r="S341">
        <v>4</v>
      </c>
      <c r="T341">
        <v>5</v>
      </c>
    </row>
    <row r="342" spans="1:20" x14ac:dyDescent="0.3">
      <c r="A342" t="s">
        <v>1393</v>
      </c>
      <c r="B342" t="s">
        <v>1394</v>
      </c>
      <c r="C342" t="s">
        <v>67</v>
      </c>
      <c r="D342" t="s">
        <v>35</v>
      </c>
      <c r="E342" t="s">
        <v>52</v>
      </c>
      <c r="F342">
        <v>80</v>
      </c>
      <c r="G342" t="s">
        <v>74</v>
      </c>
      <c r="H342" t="s">
        <v>46</v>
      </c>
      <c r="I342" t="s">
        <v>1395</v>
      </c>
      <c r="J342" t="s">
        <v>56</v>
      </c>
      <c r="K342" t="s">
        <v>48</v>
      </c>
      <c r="L342">
        <v>8</v>
      </c>
      <c r="M342">
        <v>76.44</v>
      </c>
      <c r="N342" t="s">
        <v>74</v>
      </c>
      <c r="P342" t="s">
        <v>40</v>
      </c>
      <c r="Q342">
        <v>17.04545454545455</v>
      </c>
      <c r="R342">
        <v>9.0909090909090917</v>
      </c>
      <c r="S342">
        <v>1</v>
      </c>
      <c r="T342">
        <v>4</v>
      </c>
    </row>
    <row r="343" spans="1:20" x14ac:dyDescent="0.3">
      <c r="A343" t="s">
        <v>1396</v>
      </c>
      <c r="B343" t="s">
        <v>1397</v>
      </c>
      <c r="C343" t="s">
        <v>111</v>
      </c>
      <c r="D343" t="s">
        <v>23</v>
      </c>
      <c r="E343" t="s">
        <v>112</v>
      </c>
      <c r="F343">
        <v>1200</v>
      </c>
      <c r="G343" t="s">
        <v>1398</v>
      </c>
      <c r="H343" t="s">
        <v>46</v>
      </c>
      <c r="I343" t="s">
        <v>1399</v>
      </c>
      <c r="J343" t="s">
        <v>70</v>
      </c>
      <c r="K343" t="s">
        <v>48</v>
      </c>
      <c r="L343">
        <v>6</v>
      </c>
      <c r="M343">
        <v>2098.6</v>
      </c>
      <c r="N343" t="s">
        <v>1398</v>
      </c>
      <c r="P343" t="s">
        <v>40</v>
      </c>
      <c r="Q343">
        <v>11.70833333333333</v>
      </c>
      <c r="R343">
        <v>7.5</v>
      </c>
      <c r="S343">
        <v>5</v>
      </c>
      <c r="T343">
        <v>5.4</v>
      </c>
    </row>
    <row r="344" spans="1:20" x14ac:dyDescent="0.3">
      <c r="A344" t="s">
        <v>1400</v>
      </c>
      <c r="B344" t="s">
        <v>1401</v>
      </c>
      <c r="C344" t="s">
        <v>111</v>
      </c>
      <c r="D344" t="s">
        <v>127</v>
      </c>
      <c r="E344" t="s">
        <v>245</v>
      </c>
      <c r="F344">
        <v>12</v>
      </c>
      <c r="G344" t="s">
        <v>1402</v>
      </c>
      <c r="H344" t="s">
        <v>26</v>
      </c>
      <c r="I344" t="s">
        <v>1403</v>
      </c>
      <c r="J344" t="s">
        <v>28</v>
      </c>
      <c r="K344" t="s">
        <v>48</v>
      </c>
      <c r="L344">
        <v>10</v>
      </c>
      <c r="M344">
        <v>342.28</v>
      </c>
      <c r="N344" t="s">
        <v>1402</v>
      </c>
      <c r="O344" t="s">
        <v>1404</v>
      </c>
      <c r="P344" t="s">
        <v>31</v>
      </c>
      <c r="Q344">
        <v>9.5833333333333339</v>
      </c>
      <c r="R344">
        <v>6</v>
      </c>
      <c r="S344">
        <v>4</v>
      </c>
      <c r="T344">
        <v>3.75</v>
      </c>
    </row>
    <row r="345" spans="1:20" x14ac:dyDescent="0.3">
      <c r="A345" t="s">
        <v>1405</v>
      </c>
      <c r="B345" t="s">
        <v>1406</v>
      </c>
      <c r="C345" t="s">
        <v>34</v>
      </c>
      <c r="D345" t="s">
        <v>23</v>
      </c>
      <c r="E345" t="s">
        <v>117</v>
      </c>
      <c r="F345">
        <v>400</v>
      </c>
      <c r="G345" t="s">
        <v>1407</v>
      </c>
      <c r="H345" t="s">
        <v>38</v>
      </c>
      <c r="I345" t="s">
        <v>1408</v>
      </c>
      <c r="J345" t="s">
        <v>56</v>
      </c>
      <c r="K345" t="s">
        <v>29</v>
      </c>
      <c r="L345">
        <v>8</v>
      </c>
      <c r="M345">
        <v>76.44</v>
      </c>
      <c r="N345" t="s">
        <v>1407</v>
      </c>
      <c r="P345" t="s">
        <v>40</v>
      </c>
      <c r="Q345">
        <v>3.285714285714286</v>
      </c>
      <c r="R345">
        <v>1.142857142857143</v>
      </c>
      <c r="S345">
        <v>3</v>
      </c>
      <c r="T345">
        <v>4.333333333333333</v>
      </c>
    </row>
    <row r="346" spans="1:20" x14ac:dyDescent="0.3">
      <c r="A346" t="s">
        <v>1409</v>
      </c>
      <c r="B346" t="s">
        <v>1410</v>
      </c>
      <c r="C346" t="s">
        <v>34</v>
      </c>
      <c r="D346" t="s">
        <v>127</v>
      </c>
      <c r="E346" t="s">
        <v>245</v>
      </c>
      <c r="F346">
        <v>12</v>
      </c>
      <c r="G346" t="s">
        <v>148</v>
      </c>
      <c r="H346" t="s">
        <v>61</v>
      </c>
      <c r="I346" t="s">
        <v>1411</v>
      </c>
      <c r="J346" t="s">
        <v>63</v>
      </c>
      <c r="K346" t="s">
        <v>29</v>
      </c>
      <c r="L346">
        <v>2</v>
      </c>
      <c r="M346">
        <v>538.91999999999996</v>
      </c>
      <c r="N346" t="s">
        <v>148</v>
      </c>
      <c r="P346" t="s">
        <v>40</v>
      </c>
      <c r="Q346">
        <v>3.05</v>
      </c>
      <c r="R346">
        <v>1.25</v>
      </c>
      <c r="S346">
        <v>1</v>
      </c>
      <c r="T346">
        <v>3</v>
      </c>
    </row>
    <row r="347" spans="1:20" x14ac:dyDescent="0.3">
      <c r="A347" t="s">
        <v>1412</v>
      </c>
      <c r="B347" t="s">
        <v>1413</v>
      </c>
      <c r="C347" t="s">
        <v>34</v>
      </c>
      <c r="D347" t="s">
        <v>43</v>
      </c>
      <c r="E347" t="s">
        <v>78</v>
      </c>
      <c r="F347">
        <v>150</v>
      </c>
      <c r="G347" t="s">
        <v>211</v>
      </c>
      <c r="H347" t="s">
        <v>99</v>
      </c>
      <c r="I347" t="s">
        <v>1414</v>
      </c>
      <c r="J347" t="s">
        <v>28</v>
      </c>
      <c r="K347" t="s">
        <v>29</v>
      </c>
      <c r="L347">
        <v>8</v>
      </c>
      <c r="M347">
        <v>310.44</v>
      </c>
      <c r="N347" t="s">
        <v>211</v>
      </c>
      <c r="O347" t="s">
        <v>1415</v>
      </c>
      <c r="P347" t="s">
        <v>31</v>
      </c>
      <c r="Q347">
        <v>9.5294117647058822</v>
      </c>
      <c r="R347">
        <v>5.117647058823529</v>
      </c>
      <c r="S347">
        <v>2</v>
      </c>
      <c r="T347">
        <v>5.5</v>
      </c>
    </row>
    <row r="348" spans="1:20" x14ac:dyDescent="0.3">
      <c r="A348" t="s">
        <v>1416</v>
      </c>
      <c r="B348" t="s">
        <v>164</v>
      </c>
      <c r="C348" t="s">
        <v>34</v>
      </c>
      <c r="D348" t="s">
        <v>23</v>
      </c>
      <c r="E348" t="s">
        <v>112</v>
      </c>
      <c r="F348">
        <v>35</v>
      </c>
      <c r="G348" t="s">
        <v>1417</v>
      </c>
      <c r="H348" t="s">
        <v>99</v>
      </c>
      <c r="I348" t="s">
        <v>1418</v>
      </c>
      <c r="J348" t="s">
        <v>63</v>
      </c>
      <c r="K348" t="s">
        <v>29</v>
      </c>
      <c r="L348">
        <v>4</v>
      </c>
      <c r="M348">
        <v>618.76</v>
      </c>
      <c r="N348" t="s">
        <v>1417</v>
      </c>
      <c r="P348" t="s">
        <v>40</v>
      </c>
      <c r="Q348">
        <v>23.5</v>
      </c>
      <c r="R348">
        <v>9.5</v>
      </c>
      <c r="S348">
        <v>1</v>
      </c>
      <c r="T348">
        <v>3</v>
      </c>
    </row>
    <row r="349" spans="1:20" x14ac:dyDescent="0.3">
      <c r="A349" t="s">
        <v>1419</v>
      </c>
      <c r="B349" t="s">
        <v>1420</v>
      </c>
      <c r="C349" t="s">
        <v>97</v>
      </c>
      <c r="D349" t="s">
        <v>35</v>
      </c>
      <c r="E349" t="s">
        <v>36</v>
      </c>
      <c r="F349">
        <v>12</v>
      </c>
      <c r="G349" t="s">
        <v>1421</v>
      </c>
      <c r="H349" t="s">
        <v>38</v>
      </c>
      <c r="I349" t="s">
        <v>1422</v>
      </c>
      <c r="J349" t="s">
        <v>28</v>
      </c>
      <c r="K349" t="s">
        <v>48</v>
      </c>
      <c r="L349">
        <v>6</v>
      </c>
      <c r="M349">
        <v>278.60000000000002</v>
      </c>
      <c r="N349" t="s">
        <v>1421</v>
      </c>
      <c r="O349" t="s">
        <v>1423</v>
      </c>
      <c r="P349" t="s">
        <v>31</v>
      </c>
      <c r="Q349">
        <v>11.142857142857141</v>
      </c>
      <c r="R349">
        <v>6.2857142857142856</v>
      </c>
      <c r="S349">
        <v>5</v>
      </c>
      <c r="T349">
        <v>4.4000000000000004</v>
      </c>
    </row>
    <row r="350" spans="1:20" x14ac:dyDescent="0.3">
      <c r="A350" t="s">
        <v>1424</v>
      </c>
      <c r="B350" t="s">
        <v>1425</v>
      </c>
      <c r="C350" t="s">
        <v>67</v>
      </c>
      <c r="D350" t="s">
        <v>23</v>
      </c>
      <c r="E350" t="s">
        <v>24</v>
      </c>
      <c r="F350">
        <v>12</v>
      </c>
      <c r="G350" t="s">
        <v>1426</v>
      </c>
      <c r="H350" t="s">
        <v>54</v>
      </c>
      <c r="I350" t="s">
        <v>1427</v>
      </c>
      <c r="J350" t="s">
        <v>70</v>
      </c>
      <c r="K350" t="s">
        <v>29</v>
      </c>
      <c r="L350">
        <v>5</v>
      </c>
      <c r="M350">
        <v>1978.68</v>
      </c>
      <c r="N350" t="s">
        <v>1426</v>
      </c>
      <c r="P350" t="s">
        <v>40</v>
      </c>
      <c r="S350">
        <v>1</v>
      </c>
      <c r="T350">
        <v>1</v>
      </c>
    </row>
    <row r="351" spans="1:20" x14ac:dyDescent="0.3">
      <c r="A351" t="s">
        <v>1428</v>
      </c>
      <c r="B351" t="s">
        <v>1429</v>
      </c>
      <c r="C351" t="s">
        <v>59</v>
      </c>
      <c r="D351" t="s">
        <v>23</v>
      </c>
      <c r="E351" t="s">
        <v>112</v>
      </c>
      <c r="F351">
        <v>1200</v>
      </c>
      <c r="G351" t="s">
        <v>1430</v>
      </c>
      <c r="H351" t="s">
        <v>46</v>
      </c>
      <c r="I351" t="s">
        <v>1431</v>
      </c>
      <c r="J351" t="s">
        <v>63</v>
      </c>
      <c r="K351" t="s">
        <v>29</v>
      </c>
      <c r="L351">
        <v>8</v>
      </c>
      <c r="M351">
        <v>778.44</v>
      </c>
      <c r="N351" t="s">
        <v>1430</v>
      </c>
      <c r="P351" t="s">
        <v>40</v>
      </c>
      <c r="Q351">
        <v>21.82352941176471</v>
      </c>
      <c r="R351">
        <v>13.23529411764706</v>
      </c>
      <c r="S351">
        <v>4</v>
      </c>
      <c r="T351">
        <v>4.75</v>
      </c>
    </row>
    <row r="352" spans="1:20" x14ac:dyDescent="0.3">
      <c r="A352" t="s">
        <v>1432</v>
      </c>
      <c r="B352" t="s">
        <v>1433</v>
      </c>
      <c r="C352" t="s">
        <v>82</v>
      </c>
      <c r="D352" t="s">
        <v>43</v>
      </c>
      <c r="E352" t="s">
        <v>78</v>
      </c>
      <c r="F352">
        <v>150</v>
      </c>
      <c r="G352" t="s">
        <v>1434</v>
      </c>
      <c r="H352" t="s">
        <v>54</v>
      </c>
      <c r="I352" t="s">
        <v>1435</v>
      </c>
      <c r="J352" t="s">
        <v>63</v>
      </c>
      <c r="K352" t="s">
        <v>29</v>
      </c>
      <c r="L352">
        <v>5</v>
      </c>
      <c r="M352">
        <v>658.68</v>
      </c>
      <c r="N352" t="s">
        <v>1434</v>
      </c>
      <c r="P352" t="s">
        <v>40</v>
      </c>
      <c r="Q352">
        <v>7.1052631578947372</v>
      </c>
      <c r="R352">
        <v>3.5789473684210531</v>
      </c>
      <c r="S352">
        <v>1</v>
      </c>
      <c r="T352">
        <v>2</v>
      </c>
    </row>
    <row r="353" spans="1:20" x14ac:dyDescent="0.3">
      <c r="A353" t="s">
        <v>1436</v>
      </c>
      <c r="B353" t="s">
        <v>1437</v>
      </c>
      <c r="C353" t="s">
        <v>34</v>
      </c>
      <c r="D353" t="s">
        <v>127</v>
      </c>
      <c r="E353" t="s">
        <v>128</v>
      </c>
      <c r="F353">
        <v>400</v>
      </c>
      <c r="G353" t="s">
        <v>122</v>
      </c>
      <c r="H353" t="s">
        <v>46</v>
      </c>
      <c r="I353" t="s">
        <v>1438</v>
      </c>
      <c r="J353" t="s">
        <v>28</v>
      </c>
      <c r="K353" t="s">
        <v>29</v>
      </c>
      <c r="L353">
        <v>3</v>
      </c>
      <c r="M353">
        <v>230.84</v>
      </c>
      <c r="N353" t="s">
        <v>122</v>
      </c>
      <c r="O353" t="s">
        <v>1439</v>
      </c>
      <c r="P353" t="s">
        <v>31</v>
      </c>
      <c r="Q353">
        <v>2</v>
      </c>
      <c r="R353">
        <v>0.58333333333333337</v>
      </c>
    </row>
    <row r="354" spans="1:20" x14ac:dyDescent="0.3">
      <c r="A354" t="s">
        <v>1440</v>
      </c>
      <c r="B354" t="s">
        <v>1441</v>
      </c>
      <c r="C354" t="s">
        <v>67</v>
      </c>
      <c r="D354" t="s">
        <v>127</v>
      </c>
      <c r="E354" t="s">
        <v>245</v>
      </c>
      <c r="F354">
        <v>150</v>
      </c>
      <c r="G354" t="s">
        <v>1442</v>
      </c>
      <c r="H354" t="s">
        <v>38</v>
      </c>
      <c r="I354" t="s">
        <v>1443</v>
      </c>
      <c r="J354" t="s">
        <v>28</v>
      </c>
      <c r="K354" t="s">
        <v>48</v>
      </c>
      <c r="L354">
        <v>10</v>
      </c>
      <c r="M354">
        <v>342.28</v>
      </c>
      <c r="N354" t="s">
        <v>1442</v>
      </c>
      <c r="P354" t="s">
        <v>40</v>
      </c>
      <c r="Q354">
        <v>15.428571428571431</v>
      </c>
      <c r="R354">
        <v>8.8095238095238102</v>
      </c>
      <c r="S354">
        <v>6</v>
      </c>
      <c r="T354">
        <v>7.333333333333333</v>
      </c>
    </row>
    <row r="355" spans="1:20" x14ac:dyDescent="0.3">
      <c r="A355" t="s">
        <v>1444</v>
      </c>
      <c r="B355" t="s">
        <v>1445</v>
      </c>
      <c r="C355" t="s">
        <v>82</v>
      </c>
      <c r="D355" t="s">
        <v>43</v>
      </c>
      <c r="E355" t="s">
        <v>78</v>
      </c>
      <c r="F355">
        <v>80</v>
      </c>
      <c r="G355" t="s">
        <v>1305</v>
      </c>
      <c r="H355" t="s">
        <v>54</v>
      </c>
      <c r="I355" t="s">
        <v>1446</v>
      </c>
      <c r="J355" t="s">
        <v>28</v>
      </c>
      <c r="K355" t="s">
        <v>48</v>
      </c>
      <c r="L355">
        <v>6</v>
      </c>
      <c r="M355">
        <v>278.60000000000002</v>
      </c>
      <c r="N355" t="s">
        <v>1305</v>
      </c>
      <c r="P355" t="s">
        <v>40</v>
      </c>
      <c r="Q355">
        <v>8.6521739130434785</v>
      </c>
      <c r="R355">
        <v>5.0869565217391308</v>
      </c>
      <c r="S355">
        <v>5</v>
      </c>
      <c r="T355">
        <v>4</v>
      </c>
    </row>
    <row r="356" spans="1:20" x14ac:dyDescent="0.3">
      <c r="A356" t="s">
        <v>1447</v>
      </c>
      <c r="B356" t="s">
        <v>1448</v>
      </c>
      <c r="C356" t="s">
        <v>97</v>
      </c>
      <c r="D356" t="s">
        <v>23</v>
      </c>
      <c r="E356" t="s">
        <v>117</v>
      </c>
      <c r="F356">
        <v>400</v>
      </c>
      <c r="G356" t="s">
        <v>134</v>
      </c>
      <c r="H356" t="s">
        <v>38</v>
      </c>
      <c r="I356" t="s">
        <v>1449</v>
      </c>
      <c r="J356" t="s">
        <v>56</v>
      </c>
      <c r="K356" t="s">
        <v>48</v>
      </c>
      <c r="L356">
        <v>11</v>
      </c>
      <c r="M356">
        <v>88.2</v>
      </c>
      <c r="N356" t="s">
        <v>134</v>
      </c>
      <c r="P356" t="s">
        <v>40</v>
      </c>
      <c r="Q356">
        <v>16.7</v>
      </c>
      <c r="R356">
        <v>10.5</v>
      </c>
      <c r="S356">
        <v>2</v>
      </c>
      <c r="T356">
        <v>6.5</v>
      </c>
    </row>
    <row r="357" spans="1:20" x14ac:dyDescent="0.3">
      <c r="A357" t="s">
        <v>1450</v>
      </c>
      <c r="B357" t="s">
        <v>1451</v>
      </c>
      <c r="C357" t="s">
        <v>97</v>
      </c>
      <c r="D357" t="s">
        <v>23</v>
      </c>
      <c r="E357" t="s">
        <v>73</v>
      </c>
      <c r="F357">
        <v>150</v>
      </c>
      <c r="G357" t="s">
        <v>970</v>
      </c>
      <c r="H357" t="s">
        <v>26</v>
      </c>
      <c r="I357" t="s">
        <v>1452</v>
      </c>
      <c r="J357" t="s">
        <v>70</v>
      </c>
      <c r="K357" t="s">
        <v>29</v>
      </c>
      <c r="L357">
        <v>7</v>
      </c>
      <c r="M357">
        <v>2218.52</v>
      </c>
      <c r="N357" t="s">
        <v>970</v>
      </c>
      <c r="P357" t="s">
        <v>40</v>
      </c>
      <c r="Q357">
        <v>15.59090909090909</v>
      </c>
      <c r="R357">
        <v>8.3636363636363633</v>
      </c>
      <c r="S357">
        <v>4</v>
      </c>
      <c r="T357">
        <v>5.5</v>
      </c>
    </row>
    <row r="358" spans="1:20" x14ac:dyDescent="0.3">
      <c r="A358" t="s">
        <v>1453</v>
      </c>
      <c r="B358" t="s">
        <v>1454</v>
      </c>
      <c r="C358" t="s">
        <v>97</v>
      </c>
      <c r="D358" t="s">
        <v>23</v>
      </c>
      <c r="E358" t="s">
        <v>87</v>
      </c>
      <c r="F358">
        <v>12</v>
      </c>
      <c r="G358" t="s">
        <v>1455</v>
      </c>
      <c r="H358" t="s">
        <v>38</v>
      </c>
      <c r="I358" t="s">
        <v>1456</v>
      </c>
      <c r="J358" t="s">
        <v>56</v>
      </c>
      <c r="K358" t="s">
        <v>48</v>
      </c>
      <c r="L358">
        <v>8</v>
      </c>
      <c r="M358">
        <v>76.44</v>
      </c>
      <c r="N358" t="s">
        <v>1455</v>
      </c>
      <c r="P358" t="s">
        <v>40</v>
      </c>
      <c r="Q358">
        <v>6.65</v>
      </c>
      <c r="R358">
        <v>3.75</v>
      </c>
      <c r="S358">
        <v>4</v>
      </c>
      <c r="T358">
        <v>6.5</v>
      </c>
    </row>
    <row r="359" spans="1:20" x14ac:dyDescent="0.3">
      <c r="A359" t="s">
        <v>1457</v>
      </c>
      <c r="B359" t="s">
        <v>1458</v>
      </c>
      <c r="C359" t="s">
        <v>67</v>
      </c>
      <c r="D359" t="s">
        <v>127</v>
      </c>
      <c r="E359" t="s">
        <v>133</v>
      </c>
      <c r="F359">
        <v>80</v>
      </c>
      <c r="G359" t="s">
        <v>1459</v>
      </c>
      <c r="H359" t="s">
        <v>38</v>
      </c>
      <c r="I359" t="s">
        <v>1460</v>
      </c>
      <c r="J359" t="s">
        <v>56</v>
      </c>
      <c r="K359" t="s">
        <v>29</v>
      </c>
      <c r="L359">
        <v>7</v>
      </c>
      <c r="M359">
        <v>72.52</v>
      </c>
      <c r="N359" t="s">
        <v>1459</v>
      </c>
      <c r="P359" t="s">
        <v>40</v>
      </c>
      <c r="Q359">
        <v>6</v>
      </c>
      <c r="R359">
        <v>2</v>
      </c>
    </row>
    <row r="360" spans="1:20" x14ac:dyDescent="0.3">
      <c r="A360" t="s">
        <v>1461</v>
      </c>
      <c r="B360" t="s">
        <v>713</v>
      </c>
      <c r="C360" t="s">
        <v>34</v>
      </c>
      <c r="D360" t="s">
        <v>23</v>
      </c>
      <c r="E360" t="s">
        <v>87</v>
      </c>
      <c r="F360">
        <v>400</v>
      </c>
      <c r="G360" t="s">
        <v>1462</v>
      </c>
      <c r="H360" t="s">
        <v>26</v>
      </c>
      <c r="I360" t="s">
        <v>1463</v>
      </c>
      <c r="J360" t="s">
        <v>28</v>
      </c>
      <c r="K360" t="s">
        <v>48</v>
      </c>
      <c r="L360">
        <v>5</v>
      </c>
      <c r="M360">
        <v>262.68</v>
      </c>
      <c r="N360" t="s">
        <v>1462</v>
      </c>
      <c r="P360" t="s">
        <v>40</v>
      </c>
      <c r="Q360">
        <v>19.235294117647062</v>
      </c>
      <c r="R360">
        <v>10.58823529411765</v>
      </c>
      <c r="S360">
        <v>2</v>
      </c>
      <c r="T360">
        <v>8</v>
      </c>
    </row>
    <row r="361" spans="1:20" x14ac:dyDescent="0.3">
      <c r="A361" t="s">
        <v>1464</v>
      </c>
      <c r="B361" t="s">
        <v>1465</v>
      </c>
      <c r="C361" t="s">
        <v>51</v>
      </c>
      <c r="D361" t="s">
        <v>43</v>
      </c>
      <c r="E361" t="s">
        <v>78</v>
      </c>
      <c r="F361">
        <v>150</v>
      </c>
      <c r="G361" t="s">
        <v>1466</v>
      </c>
      <c r="H361" t="s">
        <v>26</v>
      </c>
      <c r="I361" t="s">
        <v>1467</v>
      </c>
      <c r="J361" t="s">
        <v>70</v>
      </c>
      <c r="K361" t="s">
        <v>29</v>
      </c>
      <c r="L361">
        <v>5</v>
      </c>
      <c r="M361">
        <v>294.52</v>
      </c>
      <c r="N361" t="s">
        <v>1466</v>
      </c>
      <c r="P361" t="s">
        <v>40</v>
      </c>
      <c r="Q361">
        <v>23.63636363636364</v>
      </c>
      <c r="R361">
        <v>11.72727272727273</v>
      </c>
      <c r="S361">
        <v>2</v>
      </c>
      <c r="T361">
        <v>7.5</v>
      </c>
    </row>
    <row r="362" spans="1:20" x14ac:dyDescent="0.3">
      <c r="A362" t="s">
        <v>1468</v>
      </c>
      <c r="B362" t="s">
        <v>1469</v>
      </c>
      <c r="C362" t="s">
        <v>51</v>
      </c>
      <c r="D362" t="s">
        <v>43</v>
      </c>
      <c r="E362" t="s">
        <v>78</v>
      </c>
      <c r="F362">
        <v>1200</v>
      </c>
      <c r="G362" t="s">
        <v>1470</v>
      </c>
      <c r="H362" t="s">
        <v>54</v>
      </c>
      <c r="I362" t="s">
        <v>1471</v>
      </c>
      <c r="J362" t="s">
        <v>28</v>
      </c>
      <c r="K362" t="s">
        <v>48</v>
      </c>
      <c r="L362">
        <v>9</v>
      </c>
      <c r="M362">
        <v>326.36</v>
      </c>
      <c r="N362" t="s">
        <v>1470</v>
      </c>
      <c r="P362" t="s">
        <v>40</v>
      </c>
      <c r="Q362">
        <v>18.666666666666671</v>
      </c>
      <c r="R362">
        <v>15</v>
      </c>
      <c r="S362">
        <v>6</v>
      </c>
      <c r="T362">
        <v>6</v>
      </c>
    </row>
    <row r="363" spans="1:20" x14ac:dyDescent="0.3">
      <c r="A363" t="s">
        <v>1472</v>
      </c>
      <c r="B363" t="s">
        <v>1473</v>
      </c>
      <c r="C363" t="s">
        <v>67</v>
      </c>
      <c r="D363" t="s">
        <v>23</v>
      </c>
      <c r="E363" t="s">
        <v>24</v>
      </c>
      <c r="F363">
        <v>80</v>
      </c>
      <c r="G363" t="s">
        <v>1474</v>
      </c>
      <c r="H363" t="s">
        <v>38</v>
      </c>
      <c r="I363" t="s">
        <v>1475</v>
      </c>
      <c r="J363" t="s">
        <v>56</v>
      </c>
      <c r="K363" t="s">
        <v>48</v>
      </c>
      <c r="L363">
        <v>7</v>
      </c>
      <c r="M363">
        <v>72.52</v>
      </c>
      <c r="N363" t="s">
        <v>1474</v>
      </c>
      <c r="P363" t="s">
        <v>40</v>
      </c>
      <c r="Q363">
        <v>18.571428571428569</v>
      </c>
      <c r="R363">
        <v>9.5714285714285712</v>
      </c>
    </row>
    <row r="364" spans="1:20" x14ac:dyDescent="0.3">
      <c r="A364" t="s">
        <v>1476</v>
      </c>
      <c r="B364" t="s">
        <v>1477</v>
      </c>
      <c r="C364" t="s">
        <v>97</v>
      </c>
      <c r="D364" t="s">
        <v>127</v>
      </c>
      <c r="E364" t="s">
        <v>133</v>
      </c>
      <c r="F364">
        <v>12</v>
      </c>
      <c r="G364" t="s">
        <v>924</v>
      </c>
      <c r="H364" t="s">
        <v>38</v>
      </c>
      <c r="I364" t="s">
        <v>1478</v>
      </c>
      <c r="J364" t="s">
        <v>63</v>
      </c>
      <c r="K364" t="s">
        <v>29</v>
      </c>
      <c r="L364">
        <v>4</v>
      </c>
      <c r="M364">
        <v>618.76</v>
      </c>
      <c r="N364" t="s">
        <v>924</v>
      </c>
      <c r="P364" t="s">
        <v>40</v>
      </c>
      <c r="Q364">
        <v>6.5</v>
      </c>
      <c r="R364">
        <v>3.4285714285714279</v>
      </c>
      <c r="S364">
        <v>3</v>
      </c>
      <c r="T364">
        <v>5.666666666666667</v>
      </c>
    </row>
    <row r="365" spans="1:20" x14ac:dyDescent="0.3">
      <c r="A365" t="s">
        <v>1479</v>
      </c>
      <c r="B365" t="s">
        <v>1480</v>
      </c>
      <c r="C365" t="s">
        <v>34</v>
      </c>
      <c r="D365" t="s">
        <v>23</v>
      </c>
      <c r="E365" t="s">
        <v>112</v>
      </c>
      <c r="F365">
        <v>80</v>
      </c>
      <c r="G365" t="s">
        <v>1481</v>
      </c>
      <c r="H365" t="s">
        <v>38</v>
      </c>
      <c r="I365" t="s">
        <v>1482</v>
      </c>
      <c r="J365" t="s">
        <v>70</v>
      </c>
      <c r="K365" t="s">
        <v>48</v>
      </c>
      <c r="L365">
        <v>9</v>
      </c>
      <c r="M365">
        <v>2458.36</v>
      </c>
      <c r="N365" t="s">
        <v>1481</v>
      </c>
      <c r="P365" t="s">
        <v>40</v>
      </c>
      <c r="Q365">
        <v>7</v>
      </c>
      <c r="R365">
        <v>4.0909090909090908</v>
      </c>
      <c r="S365">
        <v>3</v>
      </c>
      <c r="T365">
        <v>5.333333333333333</v>
      </c>
    </row>
    <row r="366" spans="1:20" x14ac:dyDescent="0.3">
      <c r="A366" t="s">
        <v>1483</v>
      </c>
      <c r="B366" t="s">
        <v>466</v>
      </c>
      <c r="C366" t="s">
        <v>82</v>
      </c>
      <c r="D366" t="s">
        <v>23</v>
      </c>
      <c r="E366" t="s">
        <v>24</v>
      </c>
      <c r="F366">
        <v>400</v>
      </c>
      <c r="G366" t="s">
        <v>1484</v>
      </c>
      <c r="H366" t="s">
        <v>38</v>
      </c>
      <c r="I366" t="s">
        <v>1485</v>
      </c>
      <c r="J366" t="s">
        <v>70</v>
      </c>
      <c r="K366" t="s">
        <v>48</v>
      </c>
      <c r="L366">
        <v>5</v>
      </c>
      <c r="M366">
        <v>1978.68</v>
      </c>
      <c r="N366" t="s">
        <v>1484</v>
      </c>
      <c r="P366" t="s">
        <v>40</v>
      </c>
      <c r="Q366">
        <v>18.888888888888889</v>
      </c>
      <c r="R366">
        <v>11</v>
      </c>
      <c r="S366">
        <v>4</v>
      </c>
      <c r="T366">
        <v>5.5</v>
      </c>
    </row>
    <row r="367" spans="1:20" x14ac:dyDescent="0.3">
      <c r="A367" t="s">
        <v>1486</v>
      </c>
      <c r="B367" t="s">
        <v>1487</v>
      </c>
      <c r="C367" t="s">
        <v>51</v>
      </c>
      <c r="D367" t="s">
        <v>23</v>
      </c>
      <c r="E367" t="s">
        <v>87</v>
      </c>
      <c r="F367">
        <v>150</v>
      </c>
      <c r="G367" t="s">
        <v>932</v>
      </c>
      <c r="H367" t="s">
        <v>54</v>
      </c>
      <c r="I367" t="s">
        <v>1488</v>
      </c>
      <c r="J367" t="s">
        <v>56</v>
      </c>
      <c r="K367" t="s">
        <v>29</v>
      </c>
      <c r="L367">
        <v>8</v>
      </c>
      <c r="M367">
        <v>76.44</v>
      </c>
      <c r="N367" t="s">
        <v>932</v>
      </c>
      <c r="P367" t="s">
        <v>40</v>
      </c>
      <c r="Q367">
        <v>4.7619047619047619</v>
      </c>
      <c r="R367">
        <v>2.3809523809523809</v>
      </c>
      <c r="S367">
        <v>5</v>
      </c>
      <c r="T367">
        <v>5.4</v>
      </c>
    </row>
    <row r="368" spans="1:20" x14ac:dyDescent="0.3">
      <c r="A368" t="s">
        <v>1489</v>
      </c>
      <c r="B368" t="s">
        <v>1490</v>
      </c>
      <c r="C368" t="s">
        <v>67</v>
      </c>
      <c r="D368" t="s">
        <v>23</v>
      </c>
      <c r="E368" t="s">
        <v>24</v>
      </c>
      <c r="F368">
        <v>1200</v>
      </c>
      <c r="G368" t="s">
        <v>637</v>
      </c>
      <c r="H368" t="s">
        <v>46</v>
      </c>
      <c r="I368" t="s">
        <v>1491</v>
      </c>
      <c r="J368" t="s">
        <v>70</v>
      </c>
      <c r="K368" t="s">
        <v>29</v>
      </c>
      <c r="L368">
        <v>10</v>
      </c>
      <c r="M368">
        <v>2578.2800000000002</v>
      </c>
      <c r="N368" t="s">
        <v>637</v>
      </c>
      <c r="P368" t="s">
        <v>40</v>
      </c>
      <c r="Q368">
        <v>9.5</v>
      </c>
      <c r="R368">
        <v>6</v>
      </c>
      <c r="S368">
        <v>4</v>
      </c>
      <c r="T368">
        <v>6</v>
      </c>
    </row>
    <row r="369" spans="1:20" x14ac:dyDescent="0.3">
      <c r="A369" t="s">
        <v>1492</v>
      </c>
      <c r="B369" t="s">
        <v>266</v>
      </c>
      <c r="C369" t="s">
        <v>51</v>
      </c>
      <c r="D369" t="s">
        <v>43</v>
      </c>
      <c r="E369" t="s">
        <v>78</v>
      </c>
      <c r="F369">
        <v>400</v>
      </c>
      <c r="G369" t="s">
        <v>1163</v>
      </c>
      <c r="H369" t="s">
        <v>38</v>
      </c>
      <c r="I369" t="s">
        <v>1493</v>
      </c>
      <c r="J369" t="s">
        <v>56</v>
      </c>
      <c r="K369" t="s">
        <v>48</v>
      </c>
      <c r="L369">
        <v>6</v>
      </c>
      <c r="M369">
        <v>68.599999999999994</v>
      </c>
      <c r="N369" t="s">
        <v>1163</v>
      </c>
      <c r="P369" t="s">
        <v>40</v>
      </c>
      <c r="S369">
        <v>2</v>
      </c>
      <c r="T369">
        <v>6.5</v>
      </c>
    </row>
    <row r="370" spans="1:20" x14ac:dyDescent="0.3">
      <c r="A370" t="s">
        <v>1494</v>
      </c>
      <c r="B370" t="s">
        <v>1495</v>
      </c>
      <c r="C370" t="s">
        <v>51</v>
      </c>
      <c r="D370" t="s">
        <v>23</v>
      </c>
      <c r="E370" t="s">
        <v>73</v>
      </c>
      <c r="F370">
        <v>35</v>
      </c>
      <c r="G370" t="s">
        <v>1496</v>
      </c>
      <c r="H370" t="s">
        <v>38</v>
      </c>
      <c r="I370" t="s">
        <v>1497</v>
      </c>
      <c r="J370" t="s">
        <v>56</v>
      </c>
      <c r="K370" t="s">
        <v>29</v>
      </c>
      <c r="L370">
        <v>14</v>
      </c>
      <c r="M370">
        <v>99.96</v>
      </c>
      <c r="N370" t="s">
        <v>1496</v>
      </c>
      <c r="P370" t="s">
        <v>40</v>
      </c>
      <c r="Q370">
        <v>15.75</v>
      </c>
      <c r="R370">
        <v>7.708333333333333</v>
      </c>
      <c r="S370">
        <v>4</v>
      </c>
      <c r="T370">
        <v>5.5</v>
      </c>
    </row>
    <row r="371" spans="1:20" x14ac:dyDescent="0.3">
      <c r="A371" t="s">
        <v>1498</v>
      </c>
      <c r="B371" t="s">
        <v>1499</v>
      </c>
      <c r="C371" t="s">
        <v>34</v>
      </c>
      <c r="D371" t="s">
        <v>35</v>
      </c>
      <c r="E371" t="s">
        <v>52</v>
      </c>
      <c r="F371">
        <v>400</v>
      </c>
      <c r="G371" t="s">
        <v>1212</v>
      </c>
      <c r="H371" t="s">
        <v>26</v>
      </c>
      <c r="I371" t="s">
        <v>1500</v>
      </c>
      <c r="J371" t="s">
        <v>63</v>
      </c>
      <c r="K371" t="s">
        <v>48</v>
      </c>
      <c r="L371">
        <v>11</v>
      </c>
      <c r="M371">
        <v>294.52</v>
      </c>
      <c r="N371" t="s">
        <v>1212</v>
      </c>
      <c r="O371" t="s">
        <v>1501</v>
      </c>
      <c r="P371" t="s">
        <v>31</v>
      </c>
      <c r="Q371">
        <v>8.6666666666666661</v>
      </c>
      <c r="R371">
        <v>4</v>
      </c>
      <c r="S371">
        <v>4</v>
      </c>
      <c r="T371">
        <v>5</v>
      </c>
    </row>
    <row r="372" spans="1:20" x14ac:dyDescent="0.3">
      <c r="A372" t="s">
        <v>1502</v>
      </c>
      <c r="B372" t="s">
        <v>1503</v>
      </c>
      <c r="C372" t="s">
        <v>51</v>
      </c>
      <c r="D372" t="s">
        <v>23</v>
      </c>
      <c r="E372" t="s">
        <v>87</v>
      </c>
      <c r="F372">
        <v>35</v>
      </c>
      <c r="G372" t="s">
        <v>1481</v>
      </c>
      <c r="H372" t="s">
        <v>26</v>
      </c>
      <c r="I372" t="s">
        <v>1504</v>
      </c>
      <c r="J372" t="s">
        <v>63</v>
      </c>
      <c r="K372" t="s">
        <v>48</v>
      </c>
      <c r="L372">
        <v>4</v>
      </c>
      <c r="M372">
        <v>618.76</v>
      </c>
      <c r="N372" t="s">
        <v>1481</v>
      </c>
      <c r="P372" t="s">
        <v>40</v>
      </c>
      <c r="Q372">
        <v>8.2727272727272734</v>
      </c>
      <c r="R372">
        <v>4.6363636363636367</v>
      </c>
      <c r="S372">
        <v>2</v>
      </c>
      <c r="T372">
        <v>5</v>
      </c>
    </row>
    <row r="373" spans="1:20" x14ac:dyDescent="0.3">
      <c r="A373" t="s">
        <v>1505</v>
      </c>
      <c r="B373" t="s">
        <v>1506</v>
      </c>
      <c r="C373" t="s">
        <v>111</v>
      </c>
      <c r="D373" t="s">
        <v>23</v>
      </c>
      <c r="E373" t="s">
        <v>117</v>
      </c>
      <c r="F373">
        <v>400</v>
      </c>
      <c r="G373" t="s">
        <v>1507</v>
      </c>
      <c r="H373" t="s">
        <v>38</v>
      </c>
      <c r="I373" t="s">
        <v>1508</v>
      </c>
      <c r="J373" t="s">
        <v>28</v>
      </c>
      <c r="K373" t="s">
        <v>29</v>
      </c>
      <c r="L373">
        <v>5</v>
      </c>
      <c r="M373">
        <v>262.68</v>
      </c>
      <c r="N373" t="s">
        <v>1507</v>
      </c>
      <c r="P373" t="s">
        <v>40</v>
      </c>
      <c r="Q373">
        <v>9.7083333333333339</v>
      </c>
      <c r="R373">
        <v>5.583333333333333</v>
      </c>
      <c r="S373">
        <v>3</v>
      </c>
      <c r="T373">
        <v>6.333333333333333</v>
      </c>
    </row>
    <row r="374" spans="1:20" x14ac:dyDescent="0.3">
      <c r="A374" t="s">
        <v>1509</v>
      </c>
      <c r="B374" t="s">
        <v>1510</v>
      </c>
      <c r="C374" t="s">
        <v>59</v>
      </c>
      <c r="D374" t="s">
        <v>23</v>
      </c>
      <c r="E374" t="s">
        <v>87</v>
      </c>
      <c r="F374">
        <v>3000</v>
      </c>
      <c r="G374" t="s">
        <v>692</v>
      </c>
      <c r="H374" t="s">
        <v>26</v>
      </c>
      <c r="I374" t="s">
        <v>1511</v>
      </c>
      <c r="J374" t="s">
        <v>56</v>
      </c>
      <c r="K374" t="s">
        <v>29</v>
      </c>
      <c r="L374">
        <v>5</v>
      </c>
      <c r="M374">
        <v>64.680000000000007</v>
      </c>
      <c r="N374" t="s">
        <v>692</v>
      </c>
      <c r="O374" t="s">
        <v>1512</v>
      </c>
      <c r="P374" t="s">
        <v>31</v>
      </c>
      <c r="Q374">
        <v>11.1875</v>
      </c>
      <c r="R374">
        <v>5.75</v>
      </c>
      <c r="S374">
        <v>4</v>
      </c>
      <c r="T374">
        <v>6</v>
      </c>
    </row>
    <row r="375" spans="1:20" x14ac:dyDescent="0.3">
      <c r="A375" t="s">
        <v>1513</v>
      </c>
      <c r="B375" t="s">
        <v>1514</v>
      </c>
      <c r="C375" t="s">
        <v>34</v>
      </c>
      <c r="D375" t="s">
        <v>23</v>
      </c>
      <c r="E375" t="s">
        <v>112</v>
      </c>
      <c r="F375">
        <v>400</v>
      </c>
      <c r="G375" t="s">
        <v>1515</v>
      </c>
      <c r="H375" t="s">
        <v>61</v>
      </c>
      <c r="I375" t="s">
        <v>1516</v>
      </c>
      <c r="J375" t="s">
        <v>63</v>
      </c>
      <c r="K375" t="s">
        <v>48</v>
      </c>
      <c r="L375">
        <v>5</v>
      </c>
      <c r="M375">
        <v>658.68</v>
      </c>
      <c r="N375" t="s">
        <v>1515</v>
      </c>
      <c r="P375" t="s">
        <v>40</v>
      </c>
      <c r="S375">
        <v>3</v>
      </c>
      <c r="T375">
        <v>6.666666666666667</v>
      </c>
    </row>
    <row r="376" spans="1:20" x14ac:dyDescent="0.3">
      <c r="A376" t="s">
        <v>1517</v>
      </c>
      <c r="B376" t="s">
        <v>1518</v>
      </c>
      <c r="C376" t="s">
        <v>82</v>
      </c>
      <c r="D376" t="s">
        <v>23</v>
      </c>
      <c r="E376" t="s">
        <v>87</v>
      </c>
      <c r="F376">
        <v>12</v>
      </c>
      <c r="G376" t="s">
        <v>1519</v>
      </c>
      <c r="H376" t="s">
        <v>38</v>
      </c>
      <c r="I376" t="s">
        <v>1520</v>
      </c>
      <c r="J376" t="s">
        <v>56</v>
      </c>
      <c r="K376" t="s">
        <v>29</v>
      </c>
      <c r="L376">
        <v>4</v>
      </c>
      <c r="M376">
        <v>60.76</v>
      </c>
      <c r="N376" t="s">
        <v>1519</v>
      </c>
      <c r="P376" t="s">
        <v>40</v>
      </c>
      <c r="Q376">
        <v>6.2</v>
      </c>
      <c r="R376">
        <v>3</v>
      </c>
      <c r="S376">
        <v>2</v>
      </c>
      <c r="T376">
        <v>4.5</v>
      </c>
    </row>
    <row r="377" spans="1:20" x14ac:dyDescent="0.3">
      <c r="A377" t="s">
        <v>1521</v>
      </c>
      <c r="B377" t="s">
        <v>1522</v>
      </c>
      <c r="C377" t="s">
        <v>51</v>
      </c>
      <c r="D377" t="s">
        <v>127</v>
      </c>
      <c r="E377" t="s">
        <v>133</v>
      </c>
      <c r="F377">
        <v>35</v>
      </c>
      <c r="G377" t="s">
        <v>640</v>
      </c>
      <c r="H377" t="s">
        <v>54</v>
      </c>
      <c r="I377" t="s">
        <v>1523</v>
      </c>
      <c r="J377" t="s">
        <v>63</v>
      </c>
      <c r="K377" t="s">
        <v>48</v>
      </c>
      <c r="L377">
        <v>5</v>
      </c>
      <c r="M377">
        <v>658.68</v>
      </c>
      <c r="N377" t="s">
        <v>640</v>
      </c>
      <c r="P377" t="s">
        <v>40</v>
      </c>
      <c r="Q377">
        <v>19</v>
      </c>
      <c r="R377">
        <v>7</v>
      </c>
      <c r="S377">
        <v>1</v>
      </c>
      <c r="T377">
        <v>5</v>
      </c>
    </row>
    <row r="378" spans="1:20" x14ac:dyDescent="0.3">
      <c r="A378" t="s">
        <v>1524</v>
      </c>
      <c r="B378" t="s">
        <v>1082</v>
      </c>
      <c r="C378" t="s">
        <v>82</v>
      </c>
      <c r="D378" t="s">
        <v>23</v>
      </c>
      <c r="E378" t="s">
        <v>117</v>
      </c>
      <c r="F378">
        <v>12</v>
      </c>
      <c r="G378" t="s">
        <v>1525</v>
      </c>
      <c r="H378" t="s">
        <v>61</v>
      </c>
      <c r="I378" t="s">
        <v>1526</v>
      </c>
      <c r="J378" t="s">
        <v>56</v>
      </c>
      <c r="K378" t="s">
        <v>29</v>
      </c>
      <c r="L378">
        <v>5</v>
      </c>
      <c r="M378">
        <v>64.680000000000007</v>
      </c>
      <c r="N378" t="s">
        <v>1525</v>
      </c>
      <c r="P378" t="s">
        <v>40</v>
      </c>
      <c r="Q378">
        <v>12.36363636363636</v>
      </c>
      <c r="R378">
        <v>6.1818181818181817</v>
      </c>
      <c r="S378">
        <v>6</v>
      </c>
      <c r="T378">
        <v>3.333333333333333</v>
      </c>
    </row>
    <row r="379" spans="1:20" x14ac:dyDescent="0.3">
      <c r="A379" t="s">
        <v>1527</v>
      </c>
      <c r="B379" t="s">
        <v>847</v>
      </c>
      <c r="C379" t="s">
        <v>59</v>
      </c>
      <c r="D379" t="s">
        <v>23</v>
      </c>
      <c r="E379" t="s">
        <v>87</v>
      </c>
      <c r="F379">
        <v>35</v>
      </c>
      <c r="G379" t="s">
        <v>702</v>
      </c>
      <c r="H379" t="s">
        <v>99</v>
      </c>
      <c r="I379" t="s">
        <v>1528</v>
      </c>
      <c r="J379" t="s">
        <v>28</v>
      </c>
      <c r="K379" t="s">
        <v>48</v>
      </c>
      <c r="L379">
        <v>8</v>
      </c>
      <c r="M379">
        <v>310.44</v>
      </c>
      <c r="N379" t="s">
        <v>702</v>
      </c>
      <c r="P379" t="s">
        <v>40</v>
      </c>
      <c r="Q379">
        <v>6.8</v>
      </c>
      <c r="R379">
        <v>3.2</v>
      </c>
      <c r="S379">
        <v>6</v>
      </c>
      <c r="T379">
        <v>5.666666666666667</v>
      </c>
    </row>
    <row r="380" spans="1:20" x14ac:dyDescent="0.3">
      <c r="A380" t="s">
        <v>1529</v>
      </c>
      <c r="B380" t="s">
        <v>1530</v>
      </c>
      <c r="C380" t="s">
        <v>67</v>
      </c>
      <c r="D380" t="s">
        <v>23</v>
      </c>
      <c r="E380" t="s">
        <v>73</v>
      </c>
      <c r="F380">
        <v>150</v>
      </c>
      <c r="G380" t="s">
        <v>1531</v>
      </c>
      <c r="H380" t="s">
        <v>26</v>
      </c>
      <c r="I380" t="s">
        <v>1532</v>
      </c>
      <c r="J380" t="s">
        <v>70</v>
      </c>
      <c r="K380" t="s">
        <v>29</v>
      </c>
      <c r="L380">
        <v>5</v>
      </c>
      <c r="M380">
        <v>1978.68</v>
      </c>
      <c r="N380" t="s">
        <v>1531</v>
      </c>
      <c r="P380" t="s">
        <v>495</v>
      </c>
      <c r="Q380">
        <v>12.23076923076923</v>
      </c>
      <c r="R380">
        <v>6</v>
      </c>
      <c r="S380">
        <v>4</v>
      </c>
      <c r="T380">
        <v>4.5</v>
      </c>
    </row>
    <row r="381" spans="1:20" x14ac:dyDescent="0.3">
      <c r="A381" t="s">
        <v>1533</v>
      </c>
      <c r="B381" t="s">
        <v>1534</v>
      </c>
      <c r="C381" t="s">
        <v>34</v>
      </c>
      <c r="D381" t="s">
        <v>23</v>
      </c>
      <c r="E381" t="s">
        <v>24</v>
      </c>
      <c r="F381">
        <v>35</v>
      </c>
      <c r="G381" t="s">
        <v>1535</v>
      </c>
      <c r="H381" t="s">
        <v>99</v>
      </c>
      <c r="I381" t="s">
        <v>1536</v>
      </c>
      <c r="J381" t="s">
        <v>63</v>
      </c>
      <c r="K381" t="s">
        <v>29</v>
      </c>
      <c r="L381">
        <v>8</v>
      </c>
      <c r="M381">
        <v>778.44</v>
      </c>
      <c r="N381" t="s">
        <v>1535</v>
      </c>
      <c r="P381" t="s">
        <v>40</v>
      </c>
      <c r="Q381">
        <v>20.142857142857139</v>
      </c>
      <c r="R381">
        <v>11.571428571428569</v>
      </c>
      <c r="S381">
        <v>1</v>
      </c>
      <c r="T381">
        <v>1</v>
      </c>
    </row>
    <row r="382" spans="1:20" x14ac:dyDescent="0.3">
      <c r="A382" t="s">
        <v>1537</v>
      </c>
      <c r="B382" t="s">
        <v>1538</v>
      </c>
      <c r="C382" t="s">
        <v>82</v>
      </c>
      <c r="D382" t="s">
        <v>23</v>
      </c>
      <c r="E382" t="s">
        <v>112</v>
      </c>
      <c r="F382">
        <v>35</v>
      </c>
      <c r="G382" t="s">
        <v>129</v>
      </c>
      <c r="H382" t="s">
        <v>54</v>
      </c>
      <c r="I382" t="s">
        <v>1539</v>
      </c>
      <c r="J382" t="s">
        <v>28</v>
      </c>
      <c r="K382" t="s">
        <v>29</v>
      </c>
      <c r="L382">
        <v>6</v>
      </c>
      <c r="M382">
        <v>278.60000000000002</v>
      </c>
      <c r="N382" t="s">
        <v>129</v>
      </c>
      <c r="P382" t="s">
        <v>40</v>
      </c>
      <c r="Q382">
        <v>15.28571428571429</v>
      </c>
      <c r="R382">
        <v>8.4285714285714288</v>
      </c>
      <c r="S382">
        <v>6</v>
      </c>
      <c r="T382">
        <v>5.666666666666667</v>
      </c>
    </row>
    <row r="383" spans="1:20" x14ac:dyDescent="0.3">
      <c r="A383" t="s">
        <v>1540</v>
      </c>
      <c r="B383" t="s">
        <v>1214</v>
      </c>
      <c r="C383" t="s">
        <v>59</v>
      </c>
      <c r="D383" t="s">
        <v>23</v>
      </c>
      <c r="E383" t="s">
        <v>73</v>
      </c>
      <c r="F383">
        <v>400</v>
      </c>
      <c r="G383" t="s">
        <v>1321</v>
      </c>
      <c r="H383" t="s">
        <v>26</v>
      </c>
      <c r="I383" t="s">
        <v>1541</v>
      </c>
      <c r="J383" t="s">
        <v>56</v>
      </c>
      <c r="K383" t="s">
        <v>29</v>
      </c>
      <c r="L383">
        <v>8</v>
      </c>
      <c r="M383">
        <v>76.44</v>
      </c>
      <c r="N383" t="s">
        <v>1321</v>
      </c>
      <c r="O383" t="s">
        <v>857</v>
      </c>
      <c r="P383" t="s">
        <v>31</v>
      </c>
      <c r="Q383">
        <v>15</v>
      </c>
      <c r="R383">
        <v>9.5</v>
      </c>
      <c r="S383">
        <v>4</v>
      </c>
      <c r="T383">
        <v>5.25</v>
      </c>
    </row>
    <row r="384" spans="1:20" x14ac:dyDescent="0.3">
      <c r="A384" t="s">
        <v>1542</v>
      </c>
      <c r="B384" t="s">
        <v>1543</v>
      </c>
      <c r="C384" t="s">
        <v>97</v>
      </c>
      <c r="D384" t="s">
        <v>23</v>
      </c>
      <c r="E384" t="s">
        <v>112</v>
      </c>
      <c r="F384">
        <v>12</v>
      </c>
      <c r="G384" t="s">
        <v>1259</v>
      </c>
      <c r="H384" t="s">
        <v>46</v>
      </c>
      <c r="I384" t="s">
        <v>1544</v>
      </c>
      <c r="J384" t="s">
        <v>56</v>
      </c>
      <c r="K384" t="s">
        <v>48</v>
      </c>
      <c r="L384">
        <v>2</v>
      </c>
      <c r="M384">
        <v>52.92</v>
      </c>
      <c r="N384" t="s">
        <v>1259</v>
      </c>
      <c r="P384" t="s">
        <v>40</v>
      </c>
      <c r="Q384">
        <v>14.75</v>
      </c>
      <c r="R384">
        <v>7.75</v>
      </c>
      <c r="S384">
        <v>3</v>
      </c>
      <c r="T384">
        <v>7.333333333333333</v>
      </c>
    </row>
    <row r="385" spans="1:20" x14ac:dyDescent="0.3">
      <c r="A385" t="s">
        <v>1545</v>
      </c>
      <c r="B385" t="s">
        <v>1546</v>
      </c>
      <c r="C385" t="s">
        <v>51</v>
      </c>
      <c r="D385" t="s">
        <v>127</v>
      </c>
      <c r="E385" t="s">
        <v>128</v>
      </c>
      <c r="F385">
        <v>80</v>
      </c>
      <c r="G385" t="s">
        <v>1547</v>
      </c>
      <c r="H385" t="s">
        <v>38</v>
      </c>
      <c r="I385" t="s">
        <v>1548</v>
      </c>
      <c r="J385" t="s">
        <v>70</v>
      </c>
      <c r="K385" t="s">
        <v>29</v>
      </c>
      <c r="L385">
        <v>6</v>
      </c>
      <c r="M385">
        <v>2098.6</v>
      </c>
      <c r="N385" t="s">
        <v>1547</v>
      </c>
      <c r="P385" t="s">
        <v>40</v>
      </c>
      <c r="Q385">
        <v>19.5</v>
      </c>
      <c r="R385">
        <v>13.5</v>
      </c>
      <c r="S385">
        <v>5</v>
      </c>
      <c r="T385">
        <v>5.2</v>
      </c>
    </row>
    <row r="386" spans="1:20" x14ac:dyDescent="0.3">
      <c r="A386" t="s">
        <v>1549</v>
      </c>
      <c r="B386" t="s">
        <v>1158</v>
      </c>
      <c r="C386" t="s">
        <v>59</v>
      </c>
      <c r="D386" t="s">
        <v>23</v>
      </c>
      <c r="E386" t="s">
        <v>87</v>
      </c>
      <c r="F386">
        <v>12</v>
      </c>
      <c r="G386" t="s">
        <v>1474</v>
      </c>
      <c r="H386" t="s">
        <v>26</v>
      </c>
      <c r="I386" t="s">
        <v>1550</v>
      </c>
      <c r="J386" t="s">
        <v>63</v>
      </c>
      <c r="K386" t="s">
        <v>48</v>
      </c>
      <c r="L386">
        <v>5</v>
      </c>
      <c r="M386">
        <v>658.68</v>
      </c>
      <c r="N386" t="s">
        <v>1474</v>
      </c>
      <c r="P386" t="s">
        <v>40</v>
      </c>
      <c r="Q386">
        <v>8.3571428571428577</v>
      </c>
      <c r="R386">
        <v>4</v>
      </c>
      <c r="S386">
        <v>2</v>
      </c>
      <c r="T386">
        <v>5.5</v>
      </c>
    </row>
    <row r="387" spans="1:20" x14ac:dyDescent="0.3">
      <c r="A387" t="s">
        <v>1551</v>
      </c>
      <c r="B387" t="s">
        <v>1552</v>
      </c>
      <c r="C387" t="s">
        <v>34</v>
      </c>
      <c r="D387" t="s">
        <v>23</v>
      </c>
      <c r="E387" t="s">
        <v>87</v>
      </c>
      <c r="F387">
        <v>400</v>
      </c>
      <c r="G387" t="s">
        <v>1553</v>
      </c>
      <c r="H387" t="s">
        <v>46</v>
      </c>
      <c r="I387" t="s">
        <v>1554</v>
      </c>
      <c r="J387" t="s">
        <v>28</v>
      </c>
      <c r="K387" t="s">
        <v>48</v>
      </c>
      <c r="L387">
        <v>5</v>
      </c>
      <c r="M387">
        <v>262.68</v>
      </c>
      <c r="N387" t="s">
        <v>1553</v>
      </c>
      <c r="P387" t="s">
        <v>40</v>
      </c>
      <c r="Q387">
        <v>14.2</v>
      </c>
      <c r="R387">
        <v>7.6</v>
      </c>
      <c r="S387">
        <v>4</v>
      </c>
      <c r="T387">
        <v>6.5</v>
      </c>
    </row>
    <row r="388" spans="1:20" x14ac:dyDescent="0.3">
      <c r="A388" t="s">
        <v>1555</v>
      </c>
      <c r="B388" t="s">
        <v>1556</v>
      </c>
      <c r="C388" t="s">
        <v>51</v>
      </c>
      <c r="D388" t="s">
        <v>23</v>
      </c>
      <c r="E388" t="s">
        <v>24</v>
      </c>
      <c r="F388">
        <v>150</v>
      </c>
      <c r="G388" t="s">
        <v>648</v>
      </c>
      <c r="H388" t="s">
        <v>61</v>
      </c>
      <c r="I388" t="s">
        <v>1557</v>
      </c>
      <c r="J388" t="s">
        <v>28</v>
      </c>
      <c r="K388" t="s">
        <v>29</v>
      </c>
      <c r="L388">
        <v>7</v>
      </c>
      <c r="M388">
        <v>294.52</v>
      </c>
      <c r="N388" t="s">
        <v>648</v>
      </c>
      <c r="P388" t="s">
        <v>40</v>
      </c>
      <c r="Q388">
        <v>22.5</v>
      </c>
      <c r="R388">
        <v>11.33333333333333</v>
      </c>
      <c r="S388">
        <v>3</v>
      </c>
      <c r="T388">
        <v>5.666666666666667</v>
      </c>
    </row>
    <row r="389" spans="1:20" x14ac:dyDescent="0.3">
      <c r="A389" t="s">
        <v>1558</v>
      </c>
      <c r="B389" t="s">
        <v>1559</v>
      </c>
      <c r="C389" t="s">
        <v>59</v>
      </c>
      <c r="D389" t="s">
        <v>23</v>
      </c>
      <c r="E389" t="s">
        <v>87</v>
      </c>
      <c r="F389">
        <v>400</v>
      </c>
      <c r="G389" t="s">
        <v>1560</v>
      </c>
      <c r="H389" t="s">
        <v>38</v>
      </c>
      <c r="I389" t="s">
        <v>1561</v>
      </c>
      <c r="J389" t="s">
        <v>56</v>
      </c>
      <c r="K389" t="s">
        <v>48</v>
      </c>
      <c r="L389">
        <v>4</v>
      </c>
      <c r="M389">
        <v>60.76</v>
      </c>
      <c r="N389" t="s">
        <v>1560</v>
      </c>
      <c r="P389" t="s">
        <v>40</v>
      </c>
      <c r="Q389">
        <v>16.1875</v>
      </c>
      <c r="R389">
        <v>9.0625</v>
      </c>
      <c r="S389">
        <v>1</v>
      </c>
      <c r="T389">
        <v>5</v>
      </c>
    </row>
    <row r="390" spans="1:20" x14ac:dyDescent="0.3">
      <c r="A390" t="s">
        <v>1562</v>
      </c>
      <c r="B390" t="s">
        <v>652</v>
      </c>
      <c r="C390" t="s">
        <v>34</v>
      </c>
      <c r="D390" t="s">
        <v>127</v>
      </c>
      <c r="E390" t="s">
        <v>128</v>
      </c>
      <c r="F390">
        <v>80</v>
      </c>
      <c r="G390" t="s">
        <v>1563</v>
      </c>
      <c r="H390" t="s">
        <v>99</v>
      </c>
      <c r="I390" t="s">
        <v>1564</v>
      </c>
      <c r="J390" t="s">
        <v>63</v>
      </c>
      <c r="K390" t="s">
        <v>29</v>
      </c>
      <c r="L390">
        <v>8</v>
      </c>
      <c r="M390">
        <v>778.44</v>
      </c>
      <c r="N390" t="s">
        <v>1563</v>
      </c>
      <c r="P390" t="s">
        <v>40</v>
      </c>
      <c r="Q390">
        <v>14</v>
      </c>
      <c r="R390">
        <v>6.8461538461538458</v>
      </c>
      <c r="S390">
        <v>3</v>
      </c>
      <c r="T390">
        <v>6.333333333333333</v>
      </c>
    </row>
    <row r="391" spans="1:20" x14ac:dyDescent="0.3">
      <c r="A391" t="s">
        <v>1565</v>
      </c>
      <c r="B391" t="s">
        <v>1566</v>
      </c>
      <c r="C391" t="s">
        <v>97</v>
      </c>
      <c r="D391" t="s">
        <v>138</v>
      </c>
      <c r="E391" t="s">
        <v>138</v>
      </c>
      <c r="F391">
        <v>3000</v>
      </c>
      <c r="G391" t="s">
        <v>1567</v>
      </c>
      <c r="H391" t="s">
        <v>26</v>
      </c>
      <c r="I391" t="s">
        <v>1568</v>
      </c>
      <c r="J391" t="s">
        <v>56</v>
      </c>
      <c r="K391" t="s">
        <v>29</v>
      </c>
      <c r="L391">
        <v>6</v>
      </c>
      <c r="M391">
        <v>68.599999999999994</v>
      </c>
      <c r="N391" t="s">
        <v>1567</v>
      </c>
      <c r="P391" t="s">
        <v>40</v>
      </c>
      <c r="Q391">
        <v>2.954545454545455</v>
      </c>
      <c r="R391">
        <v>1.454545454545455</v>
      </c>
      <c r="S391">
        <v>4</v>
      </c>
      <c r="T391">
        <v>4.75</v>
      </c>
    </row>
    <row r="392" spans="1:20" x14ac:dyDescent="0.3">
      <c r="A392" t="s">
        <v>1569</v>
      </c>
      <c r="B392" t="s">
        <v>1570</v>
      </c>
      <c r="C392" t="s">
        <v>111</v>
      </c>
      <c r="D392" t="s">
        <v>23</v>
      </c>
      <c r="E392" t="s">
        <v>73</v>
      </c>
      <c r="F392">
        <v>400</v>
      </c>
      <c r="G392" t="s">
        <v>1571</v>
      </c>
      <c r="H392" t="s">
        <v>54</v>
      </c>
      <c r="I392" t="s">
        <v>1572</v>
      </c>
      <c r="J392" t="s">
        <v>28</v>
      </c>
      <c r="K392" t="s">
        <v>48</v>
      </c>
      <c r="L392">
        <v>8</v>
      </c>
      <c r="M392">
        <v>310.44</v>
      </c>
      <c r="N392" t="s">
        <v>1571</v>
      </c>
      <c r="P392" t="s">
        <v>40</v>
      </c>
      <c r="Q392">
        <v>20.526315789473681</v>
      </c>
      <c r="R392">
        <v>12.47368421052632</v>
      </c>
      <c r="S392">
        <v>1</v>
      </c>
      <c r="T392">
        <v>7</v>
      </c>
    </row>
    <row r="393" spans="1:20" x14ac:dyDescent="0.3">
      <c r="A393" t="s">
        <v>1573</v>
      </c>
      <c r="B393" t="s">
        <v>1574</v>
      </c>
      <c r="C393" t="s">
        <v>59</v>
      </c>
      <c r="D393" t="s">
        <v>138</v>
      </c>
      <c r="E393" t="s">
        <v>138</v>
      </c>
      <c r="F393">
        <v>35</v>
      </c>
      <c r="G393" t="s">
        <v>1575</v>
      </c>
      <c r="H393" t="s">
        <v>46</v>
      </c>
      <c r="I393" t="s">
        <v>1576</v>
      </c>
      <c r="J393" t="s">
        <v>63</v>
      </c>
      <c r="K393" t="s">
        <v>48</v>
      </c>
      <c r="L393">
        <v>6</v>
      </c>
      <c r="M393">
        <v>698.6</v>
      </c>
      <c r="N393" t="s">
        <v>1575</v>
      </c>
      <c r="O393" t="s">
        <v>1577</v>
      </c>
      <c r="P393" t="s">
        <v>31</v>
      </c>
      <c r="Q393">
        <v>10.16666666666667</v>
      </c>
      <c r="R393">
        <v>4.666666666666667</v>
      </c>
      <c r="S393">
        <v>5</v>
      </c>
      <c r="T393">
        <v>6.2</v>
      </c>
    </row>
    <row r="394" spans="1:20" x14ac:dyDescent="0.3">
      <c r="A394" t="s">
        <v>1578</v>
      </c>
      <c r="B394" t="s">
        <v>1579</v>
      </c>
      <c r="C394" t="s">
        <v>59</v>
      </c>
      <c r="D394" t="s">
        <v>23</v>
      </c>
      <c r="E394" t="s">
        <v>160</v>
      </c>
      <c r="F394">
        <v>80</v>
      </c>
      <c r="G394" t="s">
        <v>1580</v>
      </c>
      <c r="H394" t="s">
        <v>61</v>
      </c>
      <c r="I394" t="s">
        <v>1581</v>
      </c>
      <c r="J394" t="s">
        <v>28</v>
      </c>
      <c r="K394" t="s">
        <v>29</v>
      </c>
      <c r="L394">
        <v>9</v>
      </c>
      <c r="M394">
        <v>326.36</v>
      </c>
      <c r="N394" t="s">
        <v>1580</v>
      </c>
      <c r="O394" t="s">
        <v>1582</v>
      </c>
      <c r="P394" t="s">
        <v>31</v>
      </c>
      <c r="Q394">
        <v>1.642857142857143</v>
      </c>
      <c r="R394">
        <v>0.5</v>
      </c>
      <c r="S394">
        <v>4</v>
      </c>
      <c r="T394">
        <v>3</v>
      </c>
    </row>
    <row r="395" spans="1:20" x14ac:dyDescent="0.3">
      <c r="A395" t="s">
        <v>1578</v>
      </c>
      <c r="B395" t="s">
        <v>1579</v>
      </c>
      <c r="C395" t="s">
        <v>59</v>
      </c>
      <c r="D395" t="s">
        <v>23</v>
      </c>
      <c r="E395" t="s">
        <v>160</v>
      </c>
      <c r="F395">
        <v>80</v>
      </c>
      <c r="G395" t="s">
        <v>1580</v>
      </c>
      <c r="H395" t="s">
        <v>61</v>
      </c>
      <c r="I395" t="s">
        <v>1583</v>
      </c>
      <c r="J395" t="s">
        <v>56</v>
      </c>
      <c r="K395" t="s">
        <v>29</v>
      </c>
      <c r="L395">
        <v>3</v>
      </c>
      <c r="M395">
        <v>56.84</v>
      </c>
      <c r="N395" t="s">
        <v>603</v>
      </c>
      <c r="P395" t="s">
        <v>40</v>
      </c>
      <c r="Q395">
        <v>1.642857142857143</v>
      </c>
      <c r="R395">
        <v>0.5</v>
      </c>
      <c r="S395">
        <v>4</v>
      </c>
      <c r="T395">
        <v>3</v>
      </c>
    </row>
    <row r="396" spans="1:20" x14ac:dyDescent="0.3">
      <c r="A396" t="s">
        <v>1584</v>
      </c>
      <c r="B396" t="s">
        <v>1585</v>
      </c>
      <c r="C396" t="s">
        <v>111</v>
      </c>
      <c r="D396" t="s">
        <v>35</v>
      </c>
      <c r="E396" t="s">
        <v>52</v>
      </c>
      <c r="F396">
        <v>1200</v>
      </c>
      <c r="G396" t="s">
        <v>482</v>
      </c>
      <c r="H396" t="s">
        <v>38</v>
      </c>
      <c r="I396" t="s">
        <v>1586</v>
      </c>
      <c r="J396" t="s">
        <v>56</v>
      </c>
      <c r="K396" t="s">
        <v>48</v>
      </c>
      <c r="L396">
        <v>4</v>
      </c>
      <c r="M396">
        <v>60.76</v>
      </c>
      <c r="N396" t="s">
        <v>482</v>
      </c>
      <c r="P396" t="s">
        <v>40</v>
      </c>
      <c r="Q396">
        <v>13.90909090909091</v>
      </c>
      <c r="R396">
        <v>8.2727272727272734</v>
      </c>
      <c r="S396">
        <v>6</v>
      </c>
      <c r="T396">
        <v>6.833333333333333</v>
      </c>
    </row>
    <row r="397" spans="1:20" x14ac:dyDescent="0.3">
      <c r="A397" t="s">
        <v>1587</v>
      </c>
      <c r="B397" t="s">
        <v>1588</v>
      </c>
      <c r="C397" t="s">
        <v>111</v>
      </c>
      <c r="D397" t="s">
        <v>138</v>
      </c>
      <c r="E397" t="s">
        <v>138</v>
      </c>
      <c r="F397">
        <v>80</v>
      </c>
      <c r="G397" t="s">
        <v>1407</v>
      </c>
      <c r="H397" t="s">
        <v>54</v>
      </c>
      <c r="I397" t="s">
        <v>1589</v>
      </c>
      <c r="J397" t="s">
        <v>70</v>
      </c>
      <c r="K397" t="s">
        <v>29</v>
      </c>
      <c r="L397">
        <v>2</v>
      </c>
      <c r="M397">
        <v>1618.92</v>
      </c>
      <c r="N397" t="s">
        <v>1407</v>
      </c>
      <c r="O397" t="s">
        <v>1590</v>
      </c>
      <c r="P397" t="s">
        <v>31</v>
      </c>
      <c r="Q397">
        <v>14</v>
      </c>
      <c r="R397">
        <v>8</v>
      </c>
      <c r="S397">
        <v>4</v>
      </c>
      <c r="T397">
        <v>6.25</v>
      </c>
    </row>
    <row r="398" spans="1:20" x14ac:dyDescent="0.3">
      <c r="A398" t="s">
        <v>1591</v>
      </c>
      <c r="B398" t="s">
        <v>1592</v>
      </c>
      <c r="C398" t="s">
        <v>111</v>
      </c>
      <c r="D398" t="s">
        <v>127</v>
      </c>
      <c r="E398" t="s">
        <v>128</v>
      </c>
      <c r="F398">
        <v>150</v>
      </c>
      <c r="G398" t="s">
        <v>1593</v>
      </c>
      <c r="H398" t="s">
        <v>26</v>
      </c>
      <c r="I398" t="s">
        <v>1594</v>
      </c>
      <c r="J398" t="s">
        <v>70</v>
      </c>
      <c r="K398" t="s">
        <v>29</v>
      </c>
      <c r="L398">
        <v>7</v>
      </c>
      <c r="M398">
        <v>2218.52</v>
      </c>
      <c r="N398" t="s">
        <v>1593</v>
      </c>
      <c r="O398" t="s">
        <v>1595</v>
      </c>
      <c r="P398" t="s">
        <v>31</v>
      </c>
      <c r="Q398">
        <v>6.1</v>
      </c>
      <c r="R398">
        <v>3.75</v>
      </c>
      <c r="S398">
        <v>3</v>
      </c>
      <c r="T398">
        <v>6.666666666666667</v>
      </c>
    </row>
    <row r="399" spans="1:20" x14ac:dyDescent="0.3">
      <c r="A399" t="s">
        <v>1596</v>
      </c>
      <c r="B399" t="s">
        <v>1597</v>
      </c>
      <c r="C399" t="s">
        <v>59</v>
      </c>
      <c r="D399" t="s">
        <v>23</v>
      </c>
      <c r="E399" t="s">
        <v>87</v>
      </c>
      <c r="F399">
        <v>400</v>
      </c>
      <c r="G399" t="s">
        <v>1598</v>
      </c>
      <c r="H399" t="s">
        <v>61</v>
      </c>
      <c r="I399" t="s">
        <v>1599</v>
      </c>
      <c r="J399" t="s">
        <v>56</v>
      </c>
      <c r="K399" t="s">
        <v>29</v>
      </c>
      <c r="L399">
        <v>6</v>
      </c>
      <c r="M399">
        <v>68.599999999999994</v>
      </c>
      <c r="N399" t="s">
        <v>1598</v>
      </c>
      <c r="P399" t="s">
        <v>40</v>
      </c>
      <c r="Q399">
        <v>14.25</v>
      </c>
      <c r="R399">
        <v>10.25</v>
      </c>
      <c r="S399">
        <v>1</v>
      </c>
      <c r="T399">
        <v>8</v>
      </c>
    </row>
    <row r="400" spans="1:20" x14ac:dyDescent="0.3">
      <c r="A400" t="s">
        <v>1600</v>
      </c>
      <c r="B400" t="s">
        <v>1601</v>
      </c>
      <c r="C400" t="s">
        <v>59</v>
      </c>
      <c r="D400" t="s">
        <v>127</v>
      </c>
      <c r="E400" t="s">
        <v>133</v>
      </c>
      <c r="F400">
        <v>12</v>
      </c>
      <c r="G400" t="s">
        <v>1519</v>
      </c>
      <c r="H400" t="s">
        <v>54</v>
      </c>
      <c r="I400" t="s">
        <v>1602</v>
      </c>
      <c r="J400" t="s">
        <v>56</v>
      </c>
      <c r="K400" t="s">
        <v>29</v>
      </c>
      <c r="L400">
        <v>12</v>
      </c>
      <c r="M400">
        <v>92.12</v>
      </c>
      <c r="N400" t="s">
        <v>1519</v>
      </c>
      <c r="P400" t="s">
        <v>40</v>
      </c>
      <c r="Q400">
        <v>3</v>
      </c>
      <c r="R400">
        <v>1.4</v>
      </c>
      <c r="S400">
        <v>6</v>
      </c>
      <c r="T400">
        <v>5.833333333333333</v>
      </c>
    </row>
    <row r="401" spans="1:20" x14ac:dyDescent="0.3">
      <c r="A401" t="s">
        <v>1603</v>
      </c>
      <c r="B401" t="s">
        <v>1604</v>
      </c>
      <c r="C401" t="s">
        <v>34</v>
      </c>
      <c r="D401" t="s">
        <v>23</v>
      </c>
      <c r="E401" t="s">
        <v>87</v>
      </c>
      <c r="F401">
        <v>1200</v>
      </c>
      <c r="G401" t="s">
        <v>797</v>
      </c>
      <c r="H401" t="s">
        <v>46</v>
      </c>
      <c r="I401" t="s">
        <v>1605</v>
      </c>
      <c r="J401" t="s">
        <v>70</v>
      </c>
      <c r="K401" t="s">
        <v>29</v>
      </c>
      <c r="L401">
        <v>6</v>
      </c>
      <c r="M401">
        <v>2098.6</v>
      </c>
      <c r="N401" t="s">
        <v>797</v>
      </c>
      <c r="P401" t="s">
        <v>40</v>
      </c>
      <c r="Q401">
        <v>12.2</v>
      </c>
      <c r="R401">
        <v>7.4</v>
      </c>
      <c r="S401">
        <v>3</v>
      </c>
      <c r="T401">
        <v>7</v>
      </c>
    </row>
    <row r="402" spans="1:20" x14ac:dyDescent="0.3">
      <c r="A402" t="s">
        <v>1606</v>
      </c>
      <c r="B402" t="s">
        <v>1607</v>
      </c>
      <c r="C402" t="s">
        <v>59</v>
      </c>
      <c r="D402" t="s">
        <v>23</v>
      </c>
      <c r="E402" t="s">
        <v>24</v>
      </c>
      <c r="F402">
        <v>12</v>
      </c>
      <c r="G402" t="s">
        <v>295</v>
      </c>
      <c r="H402" t="s">
        <v>26</v>
      </c>
      <c r="I402" t="s">
        <v>1608</v>
      </c>
      <c r="J402" t="s">
        <v>70</v>
      </c>
      <c r="K402" t="s">
        <v>48</v>
      </c>
      <c r="L402">
        <v>7</v>
      </c>
      <c r="M402">
        <v>2218.52</v>
      </c>
      <c r="N402" t="s">
        <v>295</v>
      </c>
      <c r="O402" t="s">
        <v>1609</v>
      </c>
      <c r="P402" t="s">
        <v>31</v>
      </c>
      <c r="Q402">
        <v>1.5</v>
      </c>
      <c r="R402">
        <v>0.5</v>
      </c>
      <c r="S402">
        <v>5</v>
      </c>
      <c r="T402">
        <v>5.2</v>
      </c>
    </row>
    <row r="403" spans="1:20" x14ac:dyDescent="0.3">
      <c r="A403" t="s">
        <v>1610</v>
      </c>
      <c r="B403" t="s">
        <v>1611</v>
      </c>
      <c r="C403" t="s">
        <v>111</v>
      </c>
      <c r="D403" t="s">
        <v>127</v>
      </c>
      <c r="E403" t="s">
        <v>128</v>
      </c>
      <c r="F403">
        <v>12</v>
      </c>
      <c r="G403" t="s">
        <v>1612</v>
      </c>
      <c r="H403" t="s">
        <v>38</v>
      </c>
      <c r="I403" t="s">
        <v>1613</v>
      </c>
      <c r="J403" t="s">
        <v>56</v>
      </c>
      <c r="K403" t="s">
        <v>29</v>
      </c>
      <c r="L403">
        <v>7</v>
      </c>
      <c r="M403">
        <v>72.52</v>
      </c>
      <c r="N403" t="s">
        <v>1612</v>
      </c>
      <c r="P403" t="s">
        <v>40</v>
      </c>
      <c r="Q403">
        <v>15.95833333333333</v>
      </c>
      <c r="R403">
        <v>8.4166666666666661</v>
      </c>
      <c r="S403">
        <v>6</v>
      </c>
      <c r="T403">
        <v>5.333333333333333</v>
      </c>
    </row>
    <row r="404" spans="1:20" x14ac:dyDescent="0.3">
      <c r="A404" t="s">
        <v>1614</v>
      </c>
      <c r="B404" t="s">
        <v>1615</v>
      </c>
      <c r="C404" t="s">
        <v>34</v>
      </c>
      <c r="D404" t="s">
        <v>23</v>
      </c>
      <c r="E404" t="s">
        <v>112</v>
      </c>
      <c r="F404">
        <v>35</v>
      </c>
      <c r="G404" t="s">
        <v>848</v>
      </c>
      <c r="H404" t="s">
        <v>61</v>
      </c>
      <c r="I404" t="s">
        <v>1616</v>
      </c>
      <c r="J404" t="s">
        <v>28</v>
      </c>
      <c r="K404" t="s">
        <v>48</v>
      </c>
      <c r="L404">
        <v>8</v>
      </c>
      <c r="M404">
        <v>310.44</v>
      </c>
      <c r="N404" t="s">
        <v>848</v>
      </c>
      <c r="P404" t="s">
        <v>40</v>
      </c>
      <c r="Q404">
        <v>19.8</v>
      </c>
      <c r="R404">
        <v>12</v>
      </c>
      <c r="S404">
        <v>4</v>
      </c>
      <c r="T404">
        <v>6.75</v>
      </c>
    </row>
    <row r="405" spans="1:20" x14ac:dyDescent="0.3">
      <c r="A405" t="s">
        <v>1617</v>
      </c>
      <c r="B405" t="s">
        <v>1618</v>
      </c>
      <c r="C405" t="s">
        <v>51</v>
      </c>
      <c r="D405" t="s">
        <v>23</v>
      </c>
      <c r="E405" t="s">
        <v>117</v>
      </c>
      <c r="F405">
        <v>400</v>
      </c>
      <c r="G405" t="s">
        <v>1619</v>
      </c>
      <c r="H405" t="s">
        <v>26</v>
      </c>
      <c r="I405" t="s">
        <v>1620</v>
      </c>
      <c r="J405" t="s">
        <v>28</v>
      </c>
      <c r="K405" t="s">
        <v>29</v>
      </c>
      <c r="L405">
        <v>8</v>
      </c>
      <c r="M405">
        <v>310.44</v>
      </c>
      <c r="N405" t="s">
        <v>1619</v>
      </c>
      <c r="P405" t="s">
        <v>40</v>
      </c>
      <c r="Q405">
        <v>10.789473684210529</v>
      </c>
      <c r="R405">
        <v>5.5263157894736841</v>
      </c>
      <c r="S405">
        <v>1</v>
      </c>
      <c r="T405">
        <v>3</v>
      </c>
    </row>
    <row r="406" spans="1:20" x14ac:dyDescent="0.3">
      <c r="A406" t="s">
        <v>1621</v>
      </c>
      <c r="B406" t="s">
        <v>1115</v>
      </c>
      <c r="C406" t="s">
        <v>82</v>
      </c>
      <c r="D406" t="s">
        <v>43</v>
      </c>
      <c r="E406" t="s">
        <v>44</v>
      </c>
      <c r="F406">
        <v>400</v>
      </c>
      <c r="G406" t="s">
        <v>1622</v>
      </c>
      <c r="H406" t="s">
        <v>61</v>
      </c>
      <c r="I406" t="s">
        <v>1623</v>
      </c>
      <c r="J406" t="s">
        <v>63</v>
      </c>
      <c r="K406" t="s">
        <v>29</v>
      </c>
      <c r="L406">
        <v>7</v>
      </c>
      <c r="M406">
        <v>738.52</v>
      </c>
      <c r="N406" t="s">
        <v>1622</v>
      </c>
      <c r="P406" t="s">
        <v>40</v>
      </c>
      <c r="Q406">
        <v>11.41666666666667</v>
      </c>
      <c r="R406">
        <v>5.5</v>
      </c>
      <c r="S406">
        <v>2</v>
      </c>
      <c r="T406">
        <v>3.5</v>
      </c>
    </row>
    <row r="407" spans="1:20" x14ac:dyDescent="0.3">
      <c r="A407" t="s">
        <v>1624</v>
      </c>
      <c r="B407" t="s">
        <v>1625</v>
      </c>
      <c r="C407" t="s">
        <v>51</v>
      </c>
      <c r="D407" t="s">
        <v>35</v>
      </c>
      <c r="E407" t="s">
        <v>36</v>
      </c>
      <c r="F407">
        <v>150</v>
      </c>
      <c r="G407" t="s">
        <v>53</v>
      </c>
      <c r="H407" t="s">
        <v>61</v>
      </c>
      <c r="I407" t="s">
        <v>1626</v>
      </c>
      <c r="J407" t="s">
        <v>28</v>
      </c>
      <c r="K407" t="s">
        <v>29</v>
      </c>
      <c r="L407">
        <v>6</v>
      </c>
      <c r="M407">
        <v>278.60000000000002</v>
      </c>
      <c r="N407" t="s">
        <v>53</v>
      </c>
      <c r="O407" t="s">
        <v>1627</v>
      </c>
      <c r="P407" t="s">
        <v>31</v>
      </c>
      <c r="Q407">
        <v>1.8</v>
      </c>
      <c r="R407">
        <v>0.5</v>
      </c>
      <c r="S407">
        <v>5</v>
      </c>
      <c r="T407">
        <v>6.6</v>
      </c>
    </row>
    <row r="408" spans="1:20" x14ac:dyDescent="0.3">
      <c r="A408" t="s">
        <v>1628</v>
      </c>
      <c r="B408" t="s">
        <v>1629</v>
      </c>
      <c r="C408" t="s">
        <v>59</v>
      </c>
      <c r="D408" t="s">
        <v>23</v>
      </c>
      <c r="E408" t="s">
        <v>112</v>
      </c>
      <c r="F408">
        <v>12</v>
      </c>
      <c r="G408" t="s">
        <v>1630</v>
      </c>
      <c r="H408" t="s">
        <v>26</v>
      </c>
      <c r="I408" t="s">
        <v>1631</v>
      </c>
      <c r="J408" t="s">
        <v>56</v>
      </c>
      <c r="K408" t="s">
        <v>29</v>
      </c>
      <c r="L408">
        <v>6</v>
      </c>
      <c r="M408">
        <v>68.599999999999994</v>
      </c>
      <c r="N408" t="s">
        <v>1630</v>
      </c>
      <c r="P408" t="s">
        <v>40</v>
      </c>
      <c r="Q408">
        <v>2.1428571428571428</v>
      </c>
      <c r="R408">
        <v>0.9285714285714286</v>
      </c>
      <c r="S408">
        <v>5</v>
      </c>
      <c r="T408">
        <v>5.2</v>
      </c>
    </row>
    <row r="409" spans="1:20" x14ac:dyDescent="0.3">
      <c r="A409" t="s">
        <v>1632</v>
      </c>
      <c r="B409" t="s">
        <v>1633</v>
      </c>
      <c r="C409" t="s">
        <v>111</v>
      </c>
      <c r="D409" t="s">
        <v>43</v>
      </c>
      <c r="E409" t="s">
        <v>44</v>
      </c>
      <c r="F409">
        <v>400</v>
      </c>
      <c r="G409" t="s">
        <v>1634</v>
      </c>
      <c r="H409" t="s">
        <v>61</v>
      </c>
      <c r="I409" t="s">
        <v>1635</v>
      </c>
      <c r="J409" t="s">
        <v>56</v>
      </c>
      <c r="K409" t="s">
        <v>29</v>
      </c>
      <c r="L409">
        <v>5</v>
      </c>
      <c r="M409">
        <v>64.680000000000007</v>
      </c>
      <c r="N409" t="s">
        <v>1634</v>
      </c>
      <c r="P409" t="s">
        <v>40</v>
      </c>
      <c r="Q409">
        <v>18.571428571428569</v>
      </c>
      <c r="R409">
        <v>11.38095238095238</v>
      </c>
      <c r="S409">
        <v>2</v>
      </c>
      <c r="T409">
        <v>4.5</v>
      </c>
    </row>
    <row r="410" spans="1:20" x14ac:dyDescent="0.3">
      <c r="A410" t="s">
        <v>1636</v>
      </c>
      <c r="B410" t="s">
        <v>1637</v>
      </c>
      <c r="C410" t="s">
        <v>67</v>
      </c>
      <c r="D410" t="s">
        <v>43</v>
      </c>
      <c r="E410" t="s">
        <v>44</v>
      </c>
      <c r="F410">
        <v>35</v>
      </c>
      <c r="G410" t="s">
        <v>748</v>
      </c>
      <c r="H410" t="s">
        <v>61</v>
      </c>
      <c r="I410" t="s">
        <v>1638</v>
      </c>
      <c r="J410" t="s">
        <v>28</v>
      </c>
      <c r="K410" t="s">
        <v>48</v>
      </c>
      <c r="L410">
        <v>6</v>
      </c>
      <c r="M410">
        <v>278.60000000000002</v>
      </c>
      <c r="N410" t="s">
        <v>748</v>
      </c>
      <c r="P410" t="s">
        <v>40</v>
      </c>
      <c r="Q410">
        <v>22.333333333333329</v>
      </c>
      <c r="R410">
        <v>12.2</v>
      </c>
      <c r="S410">
        <v>3</v>
      </c>
      <c r="T410">
        <v>6.333333333333333</v>
      </c>
    </row>
    <row r="411" spans="1:20" x14ac:dyDescent="0.3">
      <c r="A411" t="s">
        <v>1639</v>
      </c>
      <c r="B411" t="s">
        <v>1425</v>
      </c>
      <c r="C411" t="s">
        <v>51</v>
      </c>
      <c r="D411" t="s">
        <v>138</v>
      </c>
      <c r="E411" t="s">
        <v>138</v>
      </c>
      <c r="F411">
        <v>12</v>
      </c>
      <c r="G411" t="s">
        <v>1640</v>
      </c>
      <c r="H411" t="s">
        <v>54</v>
      </c>
      <c r="I411" t="s">
        <v>1641</v>
      </c>
      <c r="J411" t="s">
        <v>28</v>
      </c>
      <c r="K411" t="s">
        <v>29</v>
      </c>
      <c r="L411">
        <v>6</v>
      </c>
      <c r="M411">
        <v>278.60000000000002</v>
      </c>
      <c r="N411" t="s">
        <v>1640</v>
      </c>
      <c r="P411" t="s">
        <v>40</v>
      </c>
      <c r="Q411">
        <v>13.45</v>
      </c>
      <c r="R411">
        <v>7.15</v>
      </c>
      <c r="S411">
        <v>3</v>
      </c>
      <c r="T411">
        <v>4</v>
      </c>
    </row>
    <row r="412" spans="1:20" x14ac:dyDescent="0.3">
      <c r="A412" t="s">
        <v>1642</v>
      </c>
      <c r="B412" t="s">
        <v>1038</v>
      </c>
      <c r="C412" t="s">
        <v>82</v>
      </c>
      <c r="D412" t="s">
        <v>138</v>
      </c>
      <c r="E412" t="s">
        <v>138</v>
      </c>
      <c r="F412">
        <v>12</v>
      </c>
      <c r="G412" t="s">
        <v>1643</v>
      </c>
      <c r="H412" t="s">
        <v>26</v>
      </c>
      <c r="I412" t="s">
        <v>1644</v>
      </c>
      <c r="J412" t="s">
        <v>70</v>
      </c>
      <c r="K412" t="s">
        <v>29</v>
      </c>
      <c r="L412">
        <v>15</v>
      </c>
      <c r="M412">
        <v>3177.88</v>
      </c>
      <c r="N412" t="s">
        <v>1643</v>
      </c>
      <c r="P412" t="s">
        <v>40</v>
      </c>
      <c r="Q412">
        <v>12</v>
      </c>
      <c r="R412">
        <v>7.5</v>
      </c>
      <c r="S412">
        <v>5</v>
      </c>
      <c r="T412">
        <v>5.6</v>
      </c>
    </row>
    <row r="413" spans="1:20" x14ac:dyDescent="0.3">
      <c r="A413" t="s">
        <v>1645</v>
      </c>
      <c r="B413" t="s">
        <v>1646</v>
      </c>
      <c r="C413" t="s">
        <v>34</v>
      </c>
      <c r="D413" t="s">
        <v>23</v>
      </c>
      <c r="E413" t="s">
        <v>160</v>
      </c>
      <c r="F413">
        <v>80</v>
      </c>
      <c r="G413" t="s">
        <v>1647</v>
      </c>
      <c r="H413" t="s">
        <v>99</v>
      </c>
      <c r="I413" t="s">
        <v>1648</v>
      </c>
      <c r="J413" t="s">
        <v>28</v>
      </c>
      <c r="K413" t="s">
        <v>29</v>
      </c>
      <c r="L413">
        <v>9</v>
      </c>
      <c r="M413">
        <v>326.36</v>
      </c>
      <c r="N413" t="s">
        <v>1647</v>
      </c>
      <c r="O413" t="s">
        <v>1156</v>
      </c>
      <c r="P413" t="s">
        <v>31</v>
      </c>
      <c r="Q413">
        <v>9.5714285714285712</v>
      </c>
      <c r="R413">
        <v>4.4285714285714288</v>
      </c>
      <c r="S413">
        <v>3</v>
      </c>
      <c r="T413">
        <v>6.333333333333333</v>
      </c>
    </row>
    <row r="414" spans="1:20" x14ac:dyDescent="0.3">
      <c r="A414" t="s">
        <v>1649</v>
      </c>
      <c r="B414" t="s">
        <v>1650</v>
      </c>
      <c r="C414" t="s">
        <v>59</v>
      </c>
      <c r="D414" t="s">
        <v>43</v>
      </c>
      <c r="E414" t="s">
        <v>44</v>
      </c>
      <c r="F414">
        <v>80</v>
      </c>
      <c r="G414" t="s">
        <v>1651</v>
      </c>
      <c r="H414" t="s">
        <v>26</v>
      </c>
      <c r="I414" t="s">
        <v>1652</v>
      </c>
      <c r="J414" t="s">
        <v>63</v>
      </c>
      <c r="K414" t="s">
        <v>48</v>
      </c>
      <c r="L414">
        <v>12</v>
      </c>
      <c r="M414">
        <v>938.12</v>
      </c>
      <c r="N414" t="s">
        <v>1651</v>
      </c>
      <c r="P414" t="s">
        <v>40</v>
      </c>
      <c r="Q414">
        <v>13</v>
      </c>
      <c r="R414">
        <v>8</v>
      </c>
      <c r="S414">
        <v>3</v>
      </c>
      <c r="T414">
        <v>6.333333333333333</v>
      </c>
    </row>
    <row r="415" spans="1:20" x14ac:dyDescent="0.3">
      <c r="A415" t="s">
        <v>1653</v>
      </c>
      <c r="B415" t="s">
        <v>1654</v>
      </c>
      <c r="C415" t="s">
        <v>97</v>
      </c>
      <c r="D415" t="s">
        <v>127</v>
      </c>
      <c r="E415" t="s">
        <v>133</v>
      </c>
      <c r="F415">
        <v>3000</v>
      </c>
      <c r="G415" t="s">
        <v>1655</v>
      </c>
      <c r="H415" t="s">
        <v>99</v>
      </c>
      <c r="I415" t="s">
        <v>1656</v>
      </c>
      <c r="J415" t="s">
        <v>28</v>
      </c>
      <c r="K415" t="s">
        <v>48</v>
      </c>
      <c r="L415">
        <v>9</v>
      </c>
      <c r="M415">
        <v>326.36</v>
      </c>
      <c r="N415" t="s">
        <v>1655</v>
      </c>
      <c r="O415" t="s">
        <v>1061</v>
      </c>
      <c r="P415" t="s">
        <v>31</v>
      </c>
      <c r="Q415">
        <v>3.416666666666667</v>
      </c>
      <c r="R415">
        <v>1.25</v>
      </c>
      <c r="S415">
        <v>4</v>
      </c>
      <c r="T415">
        <v>4.75</v>
      </c>
    </row>
    <row r="416" spans="1:20" x14ac:dyDescent="0.3">
      <c r="A416" t="s">
        <v>1657</v>
      </c>
      <c r="B416" t="s">
        <v>1658</v>
      </c>
      <c r="C416" t="s">
        <v>97</v>
      </c>
      <c r="D416" t="s">
        <v>127</v>
      </c>
      <c r="E416" t="s">
        <v>133</v>
      </c>
      <c r="F416">
        <v>80</v>
      </c>
      <c r="G416" t="s">
        <v>1659</v>
      </c>
      <c r="H416" t="s">
        <v>26</v>
      </c>
      <c r="I416" t="s">
        <v>1660</v>
      </c>
      <c r="J416" t="s">
        <v>63</v>
      </c>
      <c r="K416" t="s">
        <v>48</v>
      </c>
      <c r="L416">
        <v>5</v>
      </c>
      <c r="M416">
        <v>658.68</v>
      </c>
      <c r="N416" t="s">
        <v>1659</v>
      </c>
      <c r="O416" t="s">
        <v>1661</v>
      </c>
      <c r="P416" t="s">
        <v>31</v>
      </c>
      <c r="Q416">
        <v>8.1999999999999993</v>
      </c>
      <c r="R416">
        <v>5.4</v>
      </c>
      <c r="S416">
        <v>1</v>
      </c>
      <c r="T416">
        <v>4</v>
      </c>
    </row>
    <row r="417" spans="1:20" x14ac:dyDescent="0.3">
      <c r="A417" t="s">
        <v>1662</v>
      </c>
      <c r="B417" t="s">
        <v>1663</v>
      </c>
      <c r="C417" t="s">
        <v>82</v>
      </c>
      <c r="D417" t="s">
        <v>23</v>
      </c>
      <c r="E417" t="s">
        <v>73</v>
      </c>
      <c r="F417">
        <v>80</v>
      </c>
      <c r="G417" t="s">
        <v>535</v>
      </c>
      <c r="H417" t="s">
        <v>99</v>
      </c>
      <c r="I417" t="s">
        <v>1664</v>
      </c>
      <c r="J417" t="s">
        <v>28</v>
      </c>
      <c r="K417" t="s">
        <v>48</v>
      </c>
      <c r="L417">
        <v>7</v>
      </c>
      <c r="M417">
        <v>294.52</v>
      </c>
      <c r="N417" t="s">
        <v>535</v>
      </c>
      <c r="P417" t="s">
        <v>40</v>
      </c>
      <c r="Q417">
        <v>10.66666666666667</v>
      </c>
      <c r="R417">
        <v>7</v>
      </c>
      <c r="S417">
        <v>2</v>
      </c>
      <c r="T417">
        <v>8</v>
      </c>
    </row>
    <row r="418" spans="1:20" x14ac:dyDescent="0.3">
      <c r="A418" t="s">
        <v>1665</v>
      </c>
      <c r="B418" t="s">
        <v>1666</v>
      </c>
      <c r="C418" t="s">
        <v>34</v>
      </c>
      <c r="D418" t="s">
        <v>23</v>
      </c>
      <c r="E418" t="s">
        <v>160</v>
      </c>
      <c r="F418">
        <v>80</v>
      </c>
      <c r="G418" t="s">
        <v>1667</v>
      </c>
      <c r="H418" t="s">
        <v>99</v>
      </c>
      <c r="I418" t="s">
        <v>1668</v>
      </c>
      <c r="J418" t="s">
        <v>28</v>
      </c>
      <c r="K418" t="s">
        <v>48</v>
      </c>
      <c r="L418">
        <v>10</v>
      </c>
      <c r="M418">
        <v>342.28</v>
      </c>
      <c r="N418" t="s">
        <v>1667</v>
      </c>
      <c r="O418" t="s">
        <v>1669</v>
      </c>
      <c r="P418" t="s">
        <v>31</v>
      </c>
      <c r="Q418">
        <v>2.7</v>
      </c>
      <c r="R418">
        <v>1</v>
      </c>
      <c r="S418">
        <v>4</v>
      </c>
      <c r="T418">
        <v>5.25</v>
      </c>
    </row>
    <row r="419" spans="1:20" x14ac:dyDescent="0.3">
      <c r="A419" t="s">
        <v>1670</v>
      </c>
      <c r="B419" t="s">
        <v>1671</v>
      </c>
      <c r="C419" t="s">
        <v>67</v>
      </c>
      <c r="D419" t="s">
        <v>23</v>
      </c>
      <c r="E419" t="s">
        <v>112</v>
      </c>
      <c r="F419">
        <v>35</v>
      </c>
      <c r="G419" t="s">
        <v>1235</v>
      </c>
      <c r="H419" t="s">
        <v>54</v>
      </c>
      <c r="I419" t="s">
        <v>1672</v>
      </c>
      <c r="J419" t="s">
        <v>28</v>
      </c>
      <c r="K419" t="s">
        <v>48</v>
      </c>
      <c r="L419">
        <v>5</v>
      </c>
      <c r="M419">
        <v>262.68</v>
      </c>
      <c r="N419" t="s">
        <v>1235</v>
      </c>
      <c r="O419" t="s">
        <v>1673</v>
      </c>
      <c r="P419" t="s">
        <v>31</v>
      </c>
      <c r="Q419">
        <v>13</v>
      </c>
      <c r="R419">
        <v>10</v>
      </c>
      <c r="S419">
        <v>3</v>
      </c>
      <c r="T419">
        <v>6.666666666666667</v>
      </c>
    </row>
    <row r="420" spans="1:20" x14ac:dyDescent="0.3">
      <c r="A420" t="s">
        <v>1674</v>
      </c>
      <c r="B420" t="s">
        <v>1675</v>
      </c>
      <c r="C420" t="s">
        <v>111</v>
      </c>
      <c r="D420" t="s">
        <v>23</v>
      </c>
      <c r="E420" t="s">
        <v>112</v>
      </c>
      <c r="F420">
        <v>35</v>
      </c>
      <c r="G420" t="s">
        <v>1676</v>
      </c>
      <c r="H420" t="s">
        <v>46</v>
      </c>
      <c r="I420" t="s">
        <v>1677</v>
      </c>
      <c r="J420" t="s">
        <v>28</v>
      </c>
      <c r="K420" t="s">
        <v>29</v>
      </c>
      <c r="L420">
        <v>6</v>
      </c>
      <c r="M420">
        <v>278.60000000000002</v>
      </c>
      <c r="N420" t="s">
        <v>1676</v>
      </c>
      <c r="P420" t="s">
        <v>40</v>
      </c>
      <c r="Q420">
        <v>16.2</v>
      </c>
      <c r="R420">
        <v>11.6</v>
      </c>
      <c r="S420">
        <v>4</v>
      </c>
      <c r="T420">
        <v>6.75</v>
      </c>
    </row>
    <row r="421" spans="1:20" x14ac:dyDescent="0.3">
      <c r="A421" t="s">
        <v>1678</v>
      </c>
      <c r="B421" t="s">
        <v>1679</v>
      </c>
      <c r="C421" t="s">
        <v>59</v>
      </c>
      <c r="D421" t="s">
        <v>23</v>
      </c>
      <c r="E421" t="s">
        <v>117</v>
      </c>
      <c r="F421">
        <v>35</v>
      </c>
      <c r="G421" t="s">
        <v>1680</v>
      </c>
      <c r="H421" t="s">
        <v>54</v>
      </c>
      <c r="I421" t="s">
        <v>1681</v>
      </c>
      <c r="J421" t="s">
        <v>63</v>
      </c>
      <c r="K421" t="s">
        <v>48</v>
      </c>
      <c r="L421">
        <v>8</v>
      </c>
      <c r="M421">
        <v>778.44</v>
      </c>
      <c r="N421" t="s">
        <v>1680</v>
      </c>
      <c r="P421" t="s">
        <v>40</v>
      </c>
      <c r="Q421">
        <v>9.6999999999999993</v>
      </c>
      <c r="R421">
        <v>6.2</v>
      </c>
      <c r="S421">
        <v>4</v>
      </c>
      <c r="T421">
        <v>6.5</v>
      </c>
    </row>
    <row r="422" spans="1:20" x14ac:dyDescent="0.3">
      <c r="A422" t="s">
        <v>1682</v>
      </c>
      <c r="B422" t="s">
        <v>466</v>
      </c>
      <c r="C422" t="s">
        <v>51</v>
      </c>
      <c r="D422" t="s">
        <v>23</v>
      </c>
      <c r="E422" t="s">
        <v>112</v>
      </c>
      <c r="F422">
        <v>35</v>
      </c>
      <c r="G422" t="s">
        <v>1683</v>
      </c>
      <c r="H422" t="s">
        <v>61</v>
      </c>
      <c r="I422" t="s">
        <v>1684</v>
      </c>
      <c r="J422" t="s">
        <v>28</v>
      </c>
      <c r="K422" t="s">
        <v>48</v>
      </c>
      <c r="L422">
        <v>4</v>
      </c>
      <c r="M422">
        <v>246.76</v>
      </c>
      <c r="N422" t="s">
        <v>1683</v>
      </c>
      <c r="O422" t="s">
        <v>1685</v>
      </c>
      <c r="P422" t="s">
        <v>31</v>
      </c>
      <c r="Q422">
        <v>4.4444444444444446</v>
      </c>
      <c r="R422">
        <v>2.8888888888888888</v>
      </c>
      <c r="S422">
        <v>1</v>
      </c>
      <c r="T422">
        <v>6</v>
      </c>
    </row>
    <row r="423" spans="1:20" x14ac:dyDescent="0.3">
      <c r="A423" t="s">
        <v>1686</v>
      </c>
      <c r="B423" t="s">
        <v>1687</v>
      </c>
      <c r="C423" t="s">
        <v>82</v>
      </c>
      <c r="D423" t="s">
        <v>35</v>
      </c>
      <c r="E423" t="s">
        <v>36</v>
      </c>
      <c r="F423">
        <v>35</v>
      </c>
      <c r="G423" t="s">
        <v>1688</v>
      </c>
      <c r="H423" t="s">
        <v>46</v>
      </c>
      <c r="I423" t="s">
        <v>1689</v>
      </c>
      <c r="J423" t="s">
        <v>28</v>
      </c>
      <c r="K423" t="s">
        <v>48</v>
      </c>
      <c r="L423">
        <v>6</v>
      </c>
      <c r="M423">
        <v>278.60000000000002</v>
      </c>
      <c r="N423" t="s">
        <v>1688</v>
      </c>
      <c r="P423" t="s">
        <v>40</v>
      </c>
      <c r="Q423">
        <v>6.2222222222222223</v>
      </c>
      <c r="R423">
        <v>3.1111111111111112</v>
      </c>
      <c r="S423">
        <v>5</v>
      </c>
      <c r="T423">
        <v>6</v>
      </c>
    </row>
    <row r="424" spans="1:20" x14ac:dyDescent="0.3">
      <c r="A424" t="s">
        <v>1690</v>
      </c>
      <c r="B424" t="s">
        <v>1691</v>
      </c>
      <c r="C424" t="s">
        <v>59</v>
      </c>
      <c r="D424" t="s">
        <v>23</v>
      </c>
      <c r="E424" t="s">
        <v>24</v>
      </c>
      <c r="F424">
        <v>80</v>
      </c>
      <c r="G424" t="s">
        <v>1692</v>
      </c>
      <c r="H424" t="s">
        <v>54</v>
      </c>
      <c r="I424" t="s">
        <v>1693</v>
      </c>
      <c r="J424" t="s">
        <v>63</v>
      </c>
      <c r="K424" t="s">
        <v>29</v>
      </c>
      <c r="L424">
        <v>7</v>
      </c>
      <c r="M424">
        <v>738.52</v>
      </c>
      <c r="N424" t="s">
        <v>1692</v>
      </c>
      <c r="P424" t="s">
        <v>40</v>
      </c>
      <c r="Q424">
        <v>19.333333333333329</v>
      </c>
      <c r="R424">
        <v>12.33333333333333</v>
      </c>
      <c r="S424">
        <v>2</v>
      </c>
      <c r="T424">
        <v>6.5</v>
      </c>
    </row>
    <row r="425" spans="1:20" x14ac:dyDescent="0.3">
      <c r="A425" t="s">
        <v>1694</v>
      </c>
      <c r="B425" t="s">
        <v>1695</v>
      </c>
      <c r="C425" t="s">
        <v>34</v>
      </c>
      <c r="D425" t="s">
        <v>23</v>
      </c>
      <c r="E425" t="s">
        <v>73</v>
      </c>
      <c r="F425">
        <v>12</v>
      </c>
      <c r="G425" t="s">
        <v>1696</v>
      </c>
      <c r="H425" t="s">
        <v>99</v>
      </c>
      <c r="I425" t="s">
        <v>1697</v>
      </c>
      <c r="J425" t="s">
        <v>56</v>
      </c>
      <c r="K425" t="s">
        <v>29</v>
      </c>
      <c r="L425">
        <v>6</v>
      </c>
      <c r="M425">
        <v>68.599999999999994</v>
      </c>
      <c r="N425" t="s">
        <v>1696</v>
      </c>
      <c r="P425" t="s">
        <v>40</v>
      </c>
      <c r="Q425">
        <v>7.666666666666667</v>
      </c>
      <c r="R425">
        <v>4.2</v>
      </c>
      <c r="S425">
        <v>3</v>
      </c>
      <c r="T425">
        <v>5.333333333333333</v>
      </c>
    </row>
    <row r="426" spans="1:20" x14ac:dyDescent="0.3">
      <c r="A426" t="s">
        <v>1698</v>
      </c>
      <c r="B426" t="s">
        <v>1699</v>
      </c>
      <c r="C426" t="s">
        <v>22</v>
      </c>
      <c r="D426" t="s">
        <v>127</v>
      </c>
      <c r="E426" t="s">
        <v>133</v>
      </c>
      <c r="F426">
        <v>80</v>
      </c>
      <c r="G426" t="s">
        <v>1700</v>
      </c>
      <c r="H426" t="s">
        <v>46</v>
      </c>
      <c r="I426" t="s">
        <v>1701</v>
      </c>
      <c r="J426" t="s">
        <v>56</v>
      </c>
      <c r="K426" t="s">
        <v>48</v>
      </c>
      <c r="L426">
        <v>6</v>
      </c>
      <c r="M426">
        <v>68.599999999999994</v>
      </c>
      <c r="N426" t="s">
        <v>1700</v>
      </c>
      <c r="O426" t="s">
        <v>1702</v>
      </c>
      <c r="P426" t="s">
        <v>31</v>
      </c>
      <c r="Q426">
        <v>7.7</v>
      </c>
      <c r="R426">
        <v>4.5999999999999996</v>
      </c>
      <c r="S426">
        <v>2</v>
      </c>
      <c r="T426">
        <v>8.5</v>
      </c>
    </row>
    <row r="427" spans="1:20" x14ac:dyDescent="0.3">
      <c r="A427" t="s">
        <v>1703</v>
      </c>
      <c r="B427" t="s">
        <v>191</v>
      </c>
      <c r="C427" t="s">
        <v>111</v>
      </c>
      <c r="D427" t="s">
        <v>23</v>
      </c>
      <c r="E427" t="s">
        <v>24</v>
      </c>
      <c r="F427">
        <v>12</v>
      </c>
      <c r="G427" t="s">
        <v>1704</v>
      </c>
      <c r="H427" t="s">
        <v>46</v>
      </c>
      <c r="I427" t="s">
        <v>1705</v>
      </c>
      <c r="J427" t="s">
        <v>28</v>
      </c>
      <c r="K427" t="s">
        <v>29</v>
      </c>
      <c r="L427">
        <v>9</v>
      </c>
      <c r="M427">
        <v>326.36</v>
      </c>
      <c r="N427" t="s">
        <v>1704</v>
      </c>
      <c r="O427" t="s">
        <v>1706</v>
      </c>
      <c r="P427" t="s">
        <v>31</v>
      </c>
      <c r="Q427">
        <v>12.4</v>
      </c>
      <c r="R427">
        <v>7.4</v>
      </c>
      <c r="S427">
        <v>2</v>
      </c>
      <c r="T427">
        <v>5</v>
      </c>
    </row>
    <row r="428" spans="1:20" x14ac:dyDescent="0.3">
      <c r="A428" t="s">
        <v>1707</v>
      </c>
      <c r="B428" t="s">
        <v>1708</v>
      </c>
      <c r="C428" t="s">
        <v>82</v>
      </c>
      <c r="D428" t="s">
        <v>23</v>
      </c>
      <c r="E428" t="s">
        <v>112</v>
      </c>
      <c r="F428">
        <v>150</v>
      </c>
      <c r="G428" t="s">
        <v>1709</v>
      </c>
      <c r="H428" t="s">
        <v>46</v>
      </c>
      <c r="I428" t="s">
        <v>1710</v>
      </c>
      <c r="J428" t="s">
        <v>28</v>
      </c>
      <c r="K428" t="s">
        <v>48</v>
      </c>
      <c r="L428">
        <v>5</v>
      </c>
      <c r="M428">
        <v>262.68</v>
      </c>
      <c r="N428" t="s">
        <v>1709</v>
      </c>
      <c r="P428" t="s">
        <v>40</v>
      </c>
      <c r="S428">
        <v>5</v>
      </c>
      <c r="T428">
        <v>6</v>
      </c>
    </row>
    <row r="429" spans="1:20" x14ac:dyDescent="0.3">
      <c r="A429" t="s">
        <v>1711</v>
      </c>
      <c r="B429" t="s">
        <v>1712</v>
      </c>
      <c r="C429" t="s">
        <v>67</v>
      </c>
      <c r="D429" t="s">
        <v>23</v>
      </c>
      <c r="E429" t="s">
        <v>73</v>
      </c>
      <c r="F429">
        <v>1200</v>
      </c>
      <c r="G429" t="s">
        <v>1713</v>
      </c>
      <c r="H429" t="s">
        <v>38</v>
      </c>
      <c r="I429" t="s">
        <v>1714</v>
      </c>
      <c r="J429" t="s">
        <v>56</v>
      </c>
      <c r="K429" t="s">
        <v>29</v>
      </c>
      <c r="L429">
        <v>8</v>
      </c>
      <c r="M429">
        <v>76.44</v>
      </c>
      <c r="N429" t="s">
        <v>1713</v>
      </c>
      <c r="O429" t="s">
        <v>1715</v>
      </c>
      <c r="P429" t="s">
        <v>31</v>
      </c>
      <c r="Q429">
        <v>4.75</v>
      </c>
      <c r="R429">
        <v>2.375</v>
      </c>
      <c r="S429">
        <v>1</v>
      </c>
      <c r="T429">
        <v>6</v>
      </c>
    </row>
    <row r="430" spans="1:20" x14ac:dyDescent="0.3">
      <c r="A430" t="s">
        <v>1711</v>
      </c>
      <c r="B430" t="s">
        <v>1712</v>
      </c>
      <c r="C430" t="s">
        <v>67</v>
      </c>
      <c r="D430" t="s">
        <v>23</v>
      </c>
      <c r="E430" t="s">
        <v>73</v>
      </c>
      <c r="F430">
        <v>1200</v>
      </c>
      <c r="G430" t="s">
        <v>1713</v>
      </c>
      <c r="H430" t="s">
        <v>38</v>
      </c>
      <c r="I430" t="s">
        <v>1716</v>
      </c>
      <c r="J430" t="s">
        <v>70</v>
      </c>
      <c r="K430" t="s">
        <v>48</v>
      </c>
      <c r="L430">
        <v>9</v>
      </c>
      <c r="M430">
        <v>2458.36</v>
      </c>
      <c r="N430" t="s">
        <v>1717</v>
      </c>
      <c r="O430" t="s">
        <v>1718</v>
      </c>
      <c r="P430" t="s">
        <v>31</v>
      </c>
      <c r="Q430">
        <v>4.75</v>
      </c>
      <c r="R430">
        <v>2.375</v>
      </c>
      <c r="S430">
        <v>1</v>
      </c>
      <c r="T430">
        <v>6</v>
      </c>
    </row>
    <row r="431" spans="1:20" x14ac:dyDescent="0.3">
      <c r="A431" t="s">
        <v>1719</v>
      </c>
      <c r="B431" t="s">
        <v>1720</v>
      </c>
      <c r="C431" t="s">
        <v>34</v>
      </c>
      <c r="D431" t="s">
        <v>23</v>
      </c>
      <c r="E431" t="s">
        <v>160</v>
      </c>
      <c r="F431">
        <v>80</v>
      </c>
      <c r="G431" t="s">
        <v>1721</v>
      </c>
      <c r="H431" t="s">
        <v>46</v>
      </c>
      <c r="I431" t="s">
        <v>1722</v>
      </c>
      <c r="J431" t="s">
        <v>28</v>
      </c>
      <c r="K431" t="s">
        <v>29</v>
      </c>
      <c r="L431">
        <v>4</v>
      </c>
      <c r="M431">
        <v>246.76</v>
      </c>
      <c r="N431" t="s">
        <v>1721</v>
      </c>
      <c r="P431" t="s">
        <v>40</v>
      </c>
      <c r="Q431">
        <v>7.0625</v>
      </c>
      <c r="R431">
        <v>3.5625</v>
      </c>
      <c r="S431">
        <v>3</v>
      </c>
      <c r="T431">
        <v>7.666666666666667</v>
      </c>
    </row>
    <row r="432" spans="1:20" x14ac:dyDescent="0.3">
      <c r="A432" t="s">
        <v>1723</v>
      </c>
      <c r="B432" t="s">
        <v>1724</v>
      </c>
      <c r="C432" t="s">
        <v>82</v>
      </c>
      <c r="D432" t="s">
        <v>35</v>
      </c>
      <c r="E432" t="s">
        <v>52</v>
      </c>
      <c r="F432">
        <v>150</v>
      </c>
      <c r="G432" t="s">
        <v>232</v>
      </c>
      <c r="H432" t="s">
        <v>38</v>
      </c>
      <c r="I432" t="s">
        <v>1725</v>
      </c>
      <c r="J432" t="s">
        <v>28</v>
      </c>
      <c r="K432" t="s">
        <v>29</v>
      </c>
      <c r="L432">
        <v>9</v>
      </c>
      <c r="M432">
        <v>326.36</v>
      </c>
      <c r="N432" t="s">
        <v>232</v>
      </c>
      <c r="O432" t="s">
        <v>380</v>
      </c>
      <c r="P432" t="s">
        <v>31</v>
      </c>
      <c r="Q432">
        <v>13</v>
      </c>
      <c r="R432">
        <v>7.166666666666667</v>
      </c>
      <c r="S432">
        <v>4</v>
      </c>
      <c r="T432">
        <v>4.5</v>
      </c>
    </row>
    <row r="433" spans="1:20" x14ac:dyDescent="0.3">
      <c r="A433" t="s">
        <v>1726</v>
      </c>
      <c r="B433" t="s">
        <v>1727</v>
      </c>
      <c r="C433" t="s">
        <v>51</v>
      </c>
      <c r="D433" t="s">
        <v>138</v>
      </c>
      <c r="E433" t="s">
        <v>138</v>
      </c>
      <c r="F433">
        <v>12</v>
      </c>
      <c r="G433" t="s">
        <v>1728</v>
      </c>
      <c r="H433" t="s">
        <v>99</v>
      </c>
      <c r="I433" t="s">
        <v>1729</v>
      </c>
      <c r="J433" t="s">
        <v>63</v>
      </c>
      <c r="K433" t="s">
        <v>48</v>
      </c>
      <c r="L433">
        <v>8</v>
      </c>
      <c r="M433">
        <v>778.44</v>
      </c>
      <c r="N433" t="s">
        <v>1728</v>
      </c>
      <c r="P433" t="s">
        <v>40</v>
      </c>
      <c r="Q433">
        <v>8.3636363636363633</v>
      </c>
      <c r="R433">
        <v>4.6363636363636367</v>
      </c>
      <c r="S433">
        <v>3</v>
      </c>
      <c r="T433">
        <v>4.333333333333333</v>
      </c>
    </row>
    <row r="434" spans="1:20" x14ac:dyDescent="0.3">
      <c r="A434" t="s">
        <v>1730</v>
      </c>
      <c r="B434" t="s">
        <v>1731</v>
      </c>
      <c r="C434" t="s">
        <v>97</v>
      </c>
      <c r="D434" t="s">
        <v>127</v>
      </c>
      <c r="E434" t="s">
        <v>245</v>
      </c>
      <c r="F434">
        <v>400</v>
      </c>
      <c r="G434" t="s">
        <v>1732</v>
      </c>
      <c r="H434" t="s">
        <v>54</v>
      </c>
      <c r="I434" t="s">
        <v>1733</v>
      </c>
      <c r="J434" t="s">
        <v>63</v>
      </c>
      <c r="K434" t="s">
        <v>48</v>
      </c>
      <c r="L434">
        <v>5</v>
      </c>
      <c r="M434">
        <v>658.68</v>
      </c>
      <c r="N434" t="s">
        <v>1732</v>
      </c>
      <c r="P434" t="s">
        <v>40</v>
      </c>
      <c r="Q434">
        <v>17.083333333333329</v>
      </c>
      <c r="R434">
        <v>8.5</v>
      </c>
      <c r="S434">
        <v>4</v>
      </c>
      <c r="T434">
        <v>3.75</v>
      </c>
    </row>
    <row r="435" spans="1:20" x14ac:dyDescent="0.3">
      <c r="A435" t="s">
        <v>1734</v>
      </c>
      <c r="B435" t="s">
        <v>1735</v>
      </c>
      <c r="C435" t="s">
        <v>97</v>
      </c>
      <c r="D435" t="s">
        <v>23</v>
      </c>
      <c r="E435" t="s">
        <v>112</v>
      </c>
      <c r="F435">
        <v>80</v>
      </c>
      <c r="G435" t="s">
        <v>1736</v>
      </c>
      <c r="H435" t="s">
        <v>99</v>
      </c>
      <c r="I435" t="s">
        <v>1737</v>
      </c>
      <c r="J435" t="s">
        <v>28</v>
      </c>
      <c r="K435" t="s">
        <v>29</v>
      </c>
      <c r="L435">
        <v>9</v>
      </c>
      <c r="M435">
        <v>326.36</v>
      </c>
      <c r="N435" t="s">
        <v>1736</v>
      </c>
      <c r="O435" t="s">
        <v>793</v>
      </c>
      <c r="P435" t="s">
        <v>31</v>
      </c>
      <c r="Q435">
        <v>7.5</v>
      </c>
      <c r="R435">
        <v>2.5</v>
      </c>
      <c r="S435">
        <v>4</v>
      </c>
      <c r="T435">
        <v>5</v>
      </c>
    </row>
    <row r="436" spans="1:20" x14ac:dyDescent="0.3">
      <c r="A436" t="s">
        <v>1738</v>
      </c>
      <c r="B436" t="s">
        <v>1735</v>
      </c>
      <c r="C436" t="s">
        <v>67</v>
      </c>
      <c r="D436" t="s">
        <v>23</v>
      </c>
      <c r="E436" t="s">
        <v>73</v>
      </c>
      <c r="F436">
        <v>80</v>
      </c>
      <c r="G436" t="s">
        <v>1739</v>
      </c>
      <c r="H436" t="s">
        <v>54</v>
      </c>
      <c r="I436" t="s">
        <v>1740</v>
      </c>
      <c r="J436" t="s">
        <v>28</v>
      </c>
      <c r="K436" t="s">
        <v>48</v>
      </c>
      <c r="L436">
        <v>9</v>
      </c>
      <c r="M436">
        <v>326.36</v>
      </c>
      <c r="N436" t="s">
        <v>1739</v>
      </c>
      <c r="P436" t="s">
        <v>40</v>
      </c>
      <c r="Q436">
        <v>7.384615384615385</v>
      </c>
      <c r="R436">
        <v>4.2307692307692308</v>
      </c>
      <c r="S436">
        <v>1</v>
      </c>
      <c r="T436">
        <v>2</v>
      </c>
    </row>
    <row r="437" spans="1:20" x14ac:dyDescent="0.3">
      <c r="A437" t="s">
        <v>1741</v>
      </c>
      <c r="B437" t="s">
        <v>1742</v>
      </c>
      <c r="C437" t="s">
        <v>67</v>
      </c>
      <c r="D437" t="s">
        <v>35</v>
      </c>
      <c r="E437" t="s">
        <v>36</v>
      </c>
      <c r="F437">
        <v>150</v>
      </c>
      <c r="G437" t="s">
        <v>1547</v>
      </c>
      <c r="H437" t="s">
        <v>46</v>
      </c>
      <c r="I437" t="s">
        <v>1743</v>
      </c>
      <c r="J437" t="s">
        <v>28</v>
      </c>
      <c r="K437" t="s">
        <v>29</v>
      </c>
      <c r="L437">
        <v>7</v>
      </c>
      <c r="M437">
        <v>294.52</v>
      </c>
      <c r="N437" t="s">
        <v>1547</v>
      </c>
      <c r="P437" t="s">
        <v>40</v>
      </c>
      <c r="Q437">
        <v>16.5</v>
      </c>
      <c r="R437">
        <v>11</v>
      </c>
      <c r="S437">
        <v>1</v>
      </c>
      <c r="T437">
        <v>8</v>
      </c>
    </row>
    <row r="438" spans="1:20" x14ac:dyDescent="0.3">
      <c r="A438" t="s">
        <v>1744</v>
      </c>
      <c r="B438" t="s">
        <v>1745</v>
      </c>
      <c r="C438" t="s">
        <v>97</v>
      </c>
      <c r="D438" t="s">
        <v>127</v>
      </c>
      <c r="E438" t="s">
        <v>128</v>
      </c>
      <c r="F438">
        <v>3000</v>
      </c>
      <c r="G438" t="s">
        <v>1746</v>
      </c>
      <c r="H438" t="s">
        <v>46</v>
      </c>
      <c r="I438" t="s">
        <v>1747</v>
      </c>
      <c r="J438" t="s">
        <v>28</v>
      </c>
      <c r="K438" t="s">
        <v>29</v>
      </c>
      <c r="L438">
        <v>6</v>
      </c>
      <c r="M438">
        <v>278.60000000000002</v>
      </c>
      <c r="N438" t="s">
        <v>1746</v>
      </c>
      <c r="P438" t="s">
        <v>40</v>
      </c>
      <c r="Q438">
        <v>5.4545454545454541</v>
      </c>
      <c r="R438">
        <v>2.6818181818181821</v>
      </c>
      <c r="S438">
        <v>3</v>
      </c>
      <c r="T438">
        <v>6.333333333333333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CFAC-C0CE-4C2B-BBD8-6C339F1DD2D1}">
  <dimension ref="A1:Q5"/>
  <sheetViews>
    <sheetView topLeftCell="A6" workbookViewId="0">
      <selection sqref="A1:Q2"/>
    </sheetView>
  </sheetViews>
  <sheetFormatPr defaultRowHeight="14.4" x14ac:dyDescent="0.3"/>
  <cols>
    <col min="1" max="1" width="6.44140625" bestFit="1" customWidth="1"/>
    <col min="2" max="2" width="12.77734375" customWidth="1"/>
    <col min="3" max="3" width="13.77734375" customWidth="1"/>
    <col min="4" max="4" width="27.5546875" customWidth="1"/>
    <col min="5" max="5" width="13.33203125" customWidth="1"/>
  </cols>
  <sheetData>
    <row r="1" spans="1:17" ht="20.399999999999999" customHeight="1" x14ac:dyDescent="0.3">
      <c r="A1" s="11" t="s">
        <v>1758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4.4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25.8" customHeight="1" x14ac:dyDescent="0.3">
      <c r="A4" s="3" t="s">
        <v>1748</v>
      </c>
      <c r="B4" s="5" t="s">
        <v>1750</v>
      </c>
      <c r="C4" s="5" t="s">
        <v>1751</v>
      </c>
      <c r="D4" s="5" t="s">
        <v>1752</v>
      </c>
      <c r="E4" s="6" t="s">
        <v>1753</v>
      </c>
    </row>
    <row r="5" spans="1:17" ht="28.2" customHeight="1" x14ac:dyDescent="0.3">
      <c r="A5" s="4" t="s">
        <v>1749</v>
      </c>
      <c r="B5" s="7">
        <f>SUM(Sheet1!M:M)</f>
        <v>263365.55999999959</v>
      </c>
      <c r="C5" s="8">
        <f>COUNTIF(Sheet1!P:P,"Churned")/COUNTA(Sheet1!P:P)</f>
        <v>0.28767123287671231</v>
      </c>
      <c r="D5" s="9">
        <f>AVERAGE(Sheet1!M:M)</f>
        <v>602.6671853546901</v>
      </c>
      <c r="E5" s="10">
        <f>AVERAGE(Sheet1!Q:Q)</f>
        <v>10.069221139700469</v>
      </c>
    </row>
  </sheetData>
  <mergeCells count="1">
    <mergeCell ref="A1:Q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PIVOT_SUMMARY</vt:lpstr>
      <vt:lpstr>Sheet1</vt:lpstr>
      <vt:lpstr>KPI_Dashboard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Jananisingaravelan S</cp:lastModifiedBy>
  <dcterms:created xsi:type="dcterms:W3CDTF">2026-10-02T10:37:02Z</dcterms:created>
  <dcterms:modified xsi:type="dcterms:W3CDTF">2026-10-03T11:29:31Z</dcterms:modified>
</cp:coreProperties>
</file>